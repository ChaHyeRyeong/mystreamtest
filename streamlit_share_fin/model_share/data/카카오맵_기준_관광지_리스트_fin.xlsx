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 3571\Downloads\"/>
    </mc:Choice>
  </mc:AlternateContent>
  <bookViews>
    <workbookView xWindow="0" yWindow="0" windowWidth="28800" windowHeight="12270"/>
  </bookViews>
  <sheets>
    <sheet name="merge" sheetId="1" r:id="rId1"/>
    <sheet name="budget" sheetId="2" r:id="rId2"/>
    <sheet name="api" sheetId="3" r:id="rId3"/>
  </sheets>
  <definedNames>
    <definedName name="_xlnm._FilterDatabase" localSheetId="2" hidden="1">api!$A$1:$G$334</definedName>
    <definedName name="_xlnm._FilterDatabase" localSheetId="1" hidden="1">budget!$B$4:$I$337</definedName>
  </definedNames>
  <calcPr calcId="152511"/>
</workbook>
</file>

<file path=xl/calcChain.xml><?xml version="1.0" encoding="utf-8"?>
<calcChain xmlns="http://schemas.openxmlformats.org/spreadsheetml/2006/main">
  <c r="T3" i="1" l="1"/>
  <c r="U3" i="1"/>
  <c r="T4" i="1"/>
  <c r="U4" i="1"/>
  <c r="T5" i="1"/>
  <c r="U5" i="1"/>
  <c r="T6" i="1"/>
  <c r="U6" i="1"/>
  <c r="T7" i="1"/>
  <c r="U7" i="1"/>
  <c r="T8" i="1"/>
  <c r="U8" i="1"/>
  <c r="T9" i="1"/>
  <c r="U9" i="1"/>
  <c r="T10" i="1"/>
  <c r="U10" i="1"/>
  <c r="T11" i="1"/>
  <c r="U11" i="1"/>
  <c r="T12" i="1"/>
  <c r="U12" i="1"/>
  <c r="T13" i="1"/>
  <c r="U13" i="1"/>
  <c r="T14" i="1"/>
  <c r="U14" i="1"/>
  <c r="T15" i="1"/>
  <c r="U15" i="1"/>
  <c r="T16" i="1"/>
  <c r="U16" i="1"/>
  <c r="T17" i="1"/>
  <c r="U17" i="1"/>
  <c r="T18" i="1"/>
  <c r="U18" i="1"/>
  <c r="T19" i="1"/>
  <c r="U19" i="1"/>
  <c r="T20" i="1"/>
  <c r="U20" i="1"/>
  <c r="T21" i="1"/>
  <c r="U21" i="1"/>
  <c r="T22" i="1"/>
  <c r="U22" i="1"/>
  <c r="T23" i="1"/>
  <c r="U23" i="1"/>
  <c r="T24" i="1"/>
  <c r="U24" i="1"/>
  <c r="T25" i="1"/>
  <c r="U25" i="1"/>
  <c r="T26" i="1"/>
  <c r="U26" i="1"/>
  <c r="T27" i="1"/>
  <c r="U27" i="1"/>
  <c r="T28" i="1"/>
  <c r="U28" i="1"/>
  <c r="T29" i="1"/>
  <c r="U29" i="1"/>
  <c r="T30" i="1"/>
  <c r="U30" i="1"/>
  <c r="T31" i="1"/>
  <c r="U31" i="1"/>
  <c r="T32" i="1"/>
  <c r="U32" i="1"/>
  <c r="T33" i="1"/>
  <c r="U33" i="1"/>
  <c r="T34" i="1"/>
  <c r="U34" i="1"/>
  <c r="T35" i="1"/>
  <c r="U35" i="1"/>
  <c r="T36" i="1"/>
  <c r="U36" i="1"/>
  <c r="T37" i="1"/>
  <c r="U37" i="1"/>
  <c r="T38" i="1"/>
  <c r="U38" i="1"/>
  <c r="T39" i="1"/>
  <c r="U39" i="1"/>
  <c r="T40" i="1"/>
  <c r="U40" i="1"/>
  <c r="T41" i="1"/>
  <c r="U41" i="1"/>
  <c r="T42" i="1"/>
  <c r="U42" i="1"/>
  <c r="T43" i="1"/>
  <c r="U43" i="1"/>
  <c r="T44" i="1"/>
  <c r="U44" i="1"/>
  <c r="T45" i="1"/>
  <c r="U45" i="1"/>
  <c r="T46" i="1"/>
  <c r="U46" i="1"/>
  <c r="T47" i="1"/>
  <c r="U47" i="1"/>
  <c r="T48" i="1"/>
  <c r="U48" i="1"/>
  <c r="T49" i="1"/>
  <c r="U49" i="1"/>
  <c r="T50" i="1"/>
  <c r="U50" i="1"/>
  <c r="T51" i="1"/>
  <c r="U51" i="1"/>
  <c r="T52" i="1"/>
  <c r="U52" i="1"/>
  <c r="T53" i="1"/>
  <c r="U53" i="1"/>
  <c r="T54" i="1"/>
  <c r="U54" i="1"/>
  <c r="T55" i="1"/>
  <c r="U55" i="1"/>
  <c r="T56" i="1"/>
  <c r="U56" i="1"/>
  <c r="T57" i="1"/>
  <c r="U57" i="1"/>
  <c r="T58" i="1"/>
  <c r="U58" i="1"/>
  <c r="T59" i="1"/>
  <c r="U59" i="1"/>
  <c r="T60" i="1"/>
  <c r="U60" i="1"/>
  <c r="T61" i="1"/>
  <c r="U61" i="1"/>
  <c r="T62" i="1"/>
  <c r="U62" i="1"/>
  <c r="T63" i="1"/>
  <c r="U63" i="1"/>
  <c r="T64" i="1"/>
  <c r="U64" i="1"/>
  <c r="T65" i="1"/>
  <c r="U65" i="1"/>
  <c r="T66" i="1"/>
  <c r="U66" i="1"/>
  <c r="T67" i="1"/>
  <c r="U67" i="1"/>
  <c r="T68" i="1"/>
  <c r="U68" i="1"/>
  <c r="T69" i="1"/>
  <c r="U69" i="1"/>
  <c r="T70" i="1"/>
  <c r="U70" i="1"/>
  <c r="T71" i="1"/>
  <c r="U71" i="1"/>
  <c r="T72" i="1"/>
  <c r="U72" i="1"/>
  <c r="T73" i="1"/>
  <c r="U73" i="1"/>
  <c r="T74" i="1"/>
  <c r="U74" i="1"/>
  <c r="T75" i="1"/>
  <c r="U75" i="1"/>
  <c r="T76" i="1"/>
  <c r="U76" i="1"/>
  <c r="T77" i="1"/>
  <c r="U77" i="1"/>
  <c r="T78" i="1"/>
  <c r="U78" i="1"/>
  <c r="T79" i="1"/>
  <c r="U79" i="1"/>
  <c r="T80" i="1"/>
  <c r="U80" i="1"/>
  <c r="T81" i="1"/>
  <c r="U81" i="1"/>
  <c r="T82" i="1"/>
  <c r="U82" i="1"/>
  <c r="T83" i="1"/>
  <c r="U83" i="1"/>
  <c r="T84" i="1"/>
  <c r="U84" i="1"/>
  <c r="T85" i="1"/>
  <c r="U85" i="1"/>
  <c r="T86" i="1"/>
  <c r="U86" i="1"/>
  <c r="T87" i="1"/>
  <c r="U87" i="1"/>
  <c r="T88" i="1"/>
  <c r="U88" i="1"/>
  <c r="T89" i="1"/>
  <c r="U89" i="1"/>
  <c r="T90" i="1"/>
  <c r="U90" i="1"/>
  <c r="T91" i="1"/>
  <c r="U91" i="1"/>
  <c r="T92" i="1"/>
  <c r="U92" i="1"/>
  <c r="T93" i="1"/>
  <c r="U93" i="1"/>
  <c r="T94" i="1"/>
  <c r="U94" i="1"/>
  <c r="T95" i="1"/>
  <c r="U95" i="1"/>
  <c r="T96" i="1"/>
  <c r="U96" i="1"/>
  <c r="T97" i="1"/>
  <c r="U97" i="1"/>
  <c r="T98" i="1"/>
  <c r="U98" i="1"/>
  <c r="T99" i="1"/>
  <c r="U99" i="1"/>
  <c r="T100" i="1"/>
  <c r="U100" i="1"/>
  <c r="T101" i="1"/>
  <c r="U101" i="1"/>
  <c r="T102" i="1"/>
  <c r="U102" i="1"/>
  <c r="T103" i="1"/>
  <c r="U103" i="1"/>
  <c r="T104" i="1"/>
  <c r="U104" i="1"/>
  <c r="T105" i="1"/>
  <c r="U105" i="1"/>
  <c r="T106" i="1"/>
  <c r="U106" i="1"/>
  <c r="T107" i="1"/>
  <c r="U107" i="1"/>
  <c r="T108" i="1"/>
  <c r="U108" i="1"/>
  <c r="T109" i="1"/>
  <c r="U109" i="1"/>
  <c r="T110" i="1"/>
  <c r="U110" i="1"/>
  <c r="T111" i="1"/>
  <c r="U111" i="1"/>
  <c r="T112" i="1"/>
  <c r="U112" i="1"/>
  <c r="T113" i="1"/>
  <c r="U113" i="1"/>
  <c r="T114" i="1"/>
  <c r="U114" i="1"/>
  <c r="T115" i="1"/>
  <c r="U115" i="1"/>
  <c r="T116" i="1"/>
  <c r="U116" i="1"/>
  <c r="T117" i="1"/>
  <c r="U117" i="1"/>
  <c r="T118" i="1"/>
  <c r="U118" i="1"/>
  <c r="T119" i="1"/>
  <c r="U119" i="1"/>
  <c r="T120" i="1"/>
  <c r="U120" i="1"/>
  <c r="T121" i="1"/>
  <c r="U121" i="1"/>
  <c r="T122" i="1"/>
  <c r="U122" i="1"/>
  <c r="T123" i="1"/>
  <c r="U123" i="1"/>
  <c r="T124" i="1"/>
  <c r="U124" i="1"/>
  <c r="T125" i="1"/>
  <c r="U125" i="1"/>
  <c r="T126" i="1"/>
  <c r="U126" i="1"/>
  <c r="T127" i="1"/>
  <c r="U127" i="1"/>
  <c r="T128" i="1"/>
  <c r="U128" i="1"/>
  <c r="T129" i="1"/>
  <c r="U129" i="1"/>
  <c r="T130" i="1"/>
  <c r="U130" i="1"/>
  <c r="T131" i="1"/>
  <c r="U131" i="1"/>
  <c r="T132" i="1"/>
  <c r="U132" i="1"/>
  <c r="T133" i="1"/>
  <c r="U133" i="1"/>
  <c r="T134" i="1"/>
  <c r="U134" i="1"/>
  <c r="T135" i="1"/>
  <c r="U135" i="1"/>
  <c r="T136" i="1"/>
  <c r="U136" i="1"/>
  <c r="T137" i="1"/>
  <c r="U137" i="1"/>
  <c r="T138" i="1"/>
  <c r="U138" i="1"/>
  <c r="T139" i="1"/>
  <c r="U139" i="1"/>
  <c r="T140" i="1"/>
  <c r="U140" i="1"/>
  <c r="T141" i="1"/>
  <c r="U141" i="1"/>
  <c r="T142" i="1"/>
  <c r="U142" i="1"/>
  <c r="T143" i="1"/>
  <c r="U143" i="1"/>
  <c r="T144" i="1"/>
  <c r="U144" i="1"/>
  <c r="T145" i="1"/>
  <c r="U145" i="1"/>
  <c r="T146" i="1"/>
  <c r="U146" i="1"/>
  <c r="T147" i="1"/>
  <c r="U147" i="1"/>
  <c r="T148" i="1"/>
  <c r="U148" i="1"/>
  <c r="T149" i="1"/>
  <c r="U149" i="1"/>
  <c r="T150" i="1"/>
  <c r="U150" i="1"/>
  <c r="T151" i="1"/>
  <c r="U151" i="1"/>
  <c r="T152" i="1"/>
  <c r="U152" i="1"/>
  <c r="T153" i="1"/>
  <c r="U153" i="1"/>
  <c r="T154" i="1"/>
  <c r="U154" i="1"/>
  <c r="T155" i="1"/>
  <c r="U155" i="1"/>
  <c r="T156" i="1"/>
  <c r="U156" i="1"/>
  <c r="T157" i="1"/>
  <c r="U157" i="1"/>
  <c r="T158" i="1"/>
  <c r="U158" i="1"/>
  <c r="T159" i="1"/>
  <c r="U159" i="1"/>
  <c r="T160" i="1"/>
  <c r="U160" i="1"/>
  <c r="T161" i="1"/>
  <c r="U161" i="1"/>
  <c r="T162" i="1"/>
  <c r="U162" i="1"/>
  <c r="T163" i="1"/>
  <c r="U163" i="1"/>
  <c r="T164" i="1"/>
  <c r="U164" i="1"/>
  <c r="T165" i="1"/>
  <c r="U165" i="1"/>
  <c r="T166" i="1"/>
  <c r="U166" i="1"/>
  <c r="T167" i="1"/>
  <c r="U167" i="1"/>
  <c r="T168" i="1"/>
  <c r="U168" i="1"/>
  <c r="T169" i="1"/>
  <c r="U169" i="1"/>
  <c r="T170" i="1"/>
  <c r="U170" i="1"/>
  <c r="T171" i="1"/>
  <c r="U171" i="1"/>
  <c r="T172" i="1"/>
  <c r="U172" i="1"/>
  <c r="T173" i="1"/>
  <c r="U173" i="1"/>
  <c r="T174" i="1"/>
  <c r="U174" i="1"/>
  <c r="T175" i="1"/>
  <c r="U175" i="1"/>
  <c r="T176" i="1"/>
  <c r="U176" i="1"/>
  <c r="T177" i="1"/>
  <c r="U177" i="1"/>
  <c r="T178" i="1"/>
  <c r="U178" i="1"/>
  <c r="T179" i="1"/>
  <c r="U179" i="1"/>
  <c r="T180" i="1"/>
  <c r="U180" i="1"/>
  <c r="T181" i="1"/>
  <c r="U181" i="1"/>
  <c r="T182" i="1"/>
  <c r="U182" i="1"/>
  <c r="T183" i="1"/>
  <c r="U183" i="1"/>
  <c r="T184" i="1"/>
  <c r="U184" i="1"/>
  <c r="T185" i="1"/>
  <c r="U185" i="1"/>
  <c r="T186" i="1"/>
  <c r="U186" i="1"/>
  <c r="T187" i="1"/>
  <c r="U187" i="1"/>
  <c r="T188" i="1"/>
  <c r="U188" i="1"/>
  <c r="T189" i="1"/>
  <c r="U189" i="1"/>
  <c r="T190" i="1"/>
  <c r="U190" i="1"/>
  <c r="T191" i="1"/>
  <c r="U191" i="1"/>
  <c r="T192" i="1"/>
  <c r="U192" i="1"/>
  <c r="T193" i="1"/>
  <c r="U193" i="1"/>
  <c r="T194" i="1"/>
  <c r="U194" i="1"/>
  <c r="T195" i="1"/>
  <c r="U195" i="1"/>
  <c r="T196" i="1"/>
  <c r="U196" i="1"/>
  <c r="T197" i="1"/>
  <c r="U197" i="1"/>
  <c r="T198" i="1"/>
  <c r="U198" i="1"/>
  <c r="T199" i="1"/>
  <c r="U199" i="1"/>
  <c r="T200" i="1"/>
  <c r="U200" i="1"/>
  <c r="T201" i="1"/>
  <c r="U201" i="1"/>
  <c r="T202" i="1"/>
  <c r="U202" i="1"/>
  <c r="T203" i="1"/>
  <c r="U203" i="1"/>
  <c r="T204" i="1"/>
  <c r="U204" i="1"/>
  <c r="T205" i="1"/>
  <c r="U205" i="1"/>
  <c r="T206" i="1"/>
  <c r="U206" i="1"/>
  <c r="T207" i="1"/>
  <c r="U207" i="1"/>
  <c r="T208" i="1"/>
  <c r="U208" i="1"/>
  <c r="T209" i="1"/>
  <c r="U209" i="1"/>
  <c r="T210" i="1"/>
  <c r="U210" i="1"/>
  <c r="T211" i="1"/>
  <c r="U211" i="1"/>
  <c r="T212" i="1"/>
  <c r="U212" i="1"/>
  <c r="T213" i="1"/>
  <c r="U213" i="1"/>
  <c r="T214" i="1"/>
  <c r="U214" i="1"/>
  <c r="T215" i="1"/>
  <c r="U215" i="1"/>
  <c r="T216" i="1"/>
  <c r="U216" i="1"/>
  <c r="T217" i="1"/>
  <c r="U217" i="1"/>
  <c r="T218" i="1"/>
  <c r="U218" i="1"/>
  <c r="T219" i="1"/>
  <c r="U219" i="1"/>
  <c r="T220" i="1"/>
  <c r="U220" i="1"/>
  <c r="T221" i="1"/>
  <c r="U221" i="1"/>
  <c r="T222" i="1"/>
  <c r="U222" i="1"/>
  <c r="T223" i="1"/>
  <c r="U223" i="1"/>
  <c r="T224" i="1"/>
  <c r="U224" i="1"/>
  <c r="T225" i="1"/>
  <c r="U225" i="1"/>
  <c r="U2" i="1"/>
  <c r="T2" i="1"/>
  <c r="K3" i="1"/>
  <c r="L3" i="1"/>
  <c r="M3" i="1"/>
  <c r="N3" i="1"/>
  <c r="O3" i="1"/>
  <c r="K4" i="1"/>
  <c r="L4" i="1"/>
  <c r="M4" i="1"/>
  <c r="N4" i="1"/>
  <c r="O4" i="1"/>
  <c r="K5" i="1"/>
  <c r="L5" i="1"/>
  <c r="M5" i="1"/>
  <c r="N5" i="1"/>
  <c r="O5" i="1"/>
  <c r="K6" i="1"/>
  <c r="L6" i="1"/>
  <c r="M6" i="1"/>
  <c r="N6" i="1"/>
  <c r="O6" i="1"/>
  <c r="K7" i="1"/>
  <c r="L7" i="1"/>
  <c r="M7" i="1"/>
  <c r="N7" i="1"/>
  <c r="O7" i="1"/>
  <c r="K8" i="1"/>
  <c r="L8" i="1"/>
  <c r="M8" i="1"/>
  <c r="N8" i="1"/>
  <c r="O8" i="1"/>
  <c r="K9" i="1"/>
  <c r="L9" i="1"/>
  <c r="M9" i="1"/>
  <c r="N9" i="1"/>
  <c r="O9" i="1"/>
  <c r="K10" i="1"/>
  <c r="L10" i="1"/>
  <c r="M10" i="1"/>
  <c r="N10" i="1"/>
  <c r="O10" i="1"/>
  <c r="K11" i="1"/>
  <c r="L11" i="1"/>
  <c r="M11" i="1"/>
  <c r="N11" i="1"/>
  <c r="O11" i="1"/>
  <c r="K12" i="1"/>
  <c r="L12" i="1"/>
  <c r="M12" i="1"/>
  <c r="N12" i="1"/>
  <c r="O12" i="1"/>
  <c r="K13" i="1"/>
  <c r="L13" i="1"/>
  <c r="M13" i="1"/>
  <c r="N13" i="1"/>
  <c r="O13" i="1"/>
  <c r="K14" i="1"/>
  <c r="L14" i="1"/>
  <c r="M14" i="1"/>
  <c r="N14" i="1"/>
  <c r="O14" i="1"/>
  <c r="K15" i="1"/>
  <c r="L15" i="1"/>
  <c r="M15" i="1"/>
  <c r="N15" i="1"/>
  <c r="O15" i="1"/>
  <c r="K16" i="1"/>
  <c r="L16" i="1"/>
  <c r="M16" i="1"/>
  <c r="N16" i="1"/>
  <c r="O16" i="1"/>
  <c r="K17" i="1"/>
  <c r="L17" i="1"/>
  <c r="M17" i="1"/>
  <c r="N17" i="1"/>
  <c r="O17" i="1"/>
  <c r="K18" i="1"/>
  <c r="L18" i="1"/>
  <c r="M18" i="1"/>
  <c r="N18" i="1"/>
  <c r="O18" i="1"/>
  <c r="K19" i="1"/>
  <c r="L19" i="1"/>
  <c r="M19" i="1"/>
  <c r="N19" i="1"/>
  <c r="O19" i="1"/>
  <c r="K20" i="1"/>
  <c r="L20" i="1"/>
  <c r="M20" i="1"/>
  <c r="N20" i="1"/>
  <c r="O20" i="1"/>
  <c r="K21" i="1"/>
  <c r="L21" i="1"/>
  <c r="M21" i="1"/>
  <c r="N21" i="1"/>
  <c r="O21" i="1"/>
  <c r="K22" i="1"/>
  <c r="L22" i="1"/>
  <c r="M22" i="1"/>
  <c r="N22" i="1"/>
  <c r="O22" i="1"/>
  <c r="K23" i="1"/>
  <c r="L23" i="1"/>
  <c r="M23" i="1"/>
  <c r="N23" i="1"/>
  <c r="O23" i="1"/>
  <c r="K24" i="1"/>
  <c r="L24" i="1"/>
  <c r="M24" i="1"/>
  <c r="N24" i="1"/>
  <c r="O24" i="1"/>
  <c r="K25" i="1"/>
  <c r="L25" i="1"/>
  <c r="M25" i="1"/>
  <c r="N25" i="1"/>
  <c r="O25" i="1"/>
  <c r="K26" i="1"/>
  <c r="L26" i="1"/>
  <c r="M26" i="1"/>
  <c r="N26" i="1"/>
  <c r="O26" i="1"/>
  <c r="K27" i="1"/>
  <c r="L27" i="1"/>
  <c r="M27" i="1"/>
  <c r="N27" i="1"/>
  <c r="O27" i="1"/>
  <c r="K28" i="1"/>
  <c r="L28" i="1"/>
  <c r="M28" i="1"/>
  <c r="N28" i="1"/>
  <c r="O28" i="1"/>
  <c r="K29" i="1"/>
  <c r="L29" i="1"/>
  <c r="M29" i="1"/>
  <c r="N29" i="1"/>
  <c r="O29" i="1"/>
  <c r="K30" i="1"/>
  <c r="L30" i="1"/>
  <c r="M30" i="1"/>
  <c r="N30" i="1"/>
  <c r="O30" i="1"/>
  <c r="K31" i="1"/>
  <c r="L31" i="1"/>
  <c r="M31" i="1"/>
  <c r="N31" i="1"/>
  <c r="O31" i="1"/>
  <c r="K32" i="1"/>
  <c r="L32" i="1"/>
  <c r="M32" i="1"/>
  <c r="N32" i="1"/>
  <c r="O32" i="1"/>
  <c r="K33" i="1"/>
  <c r="L33" i="1"/>
  <c r="M33" i="1"/>
  <c r="N33" i="1"/>
  <c r="O33" i="1"/>
  <c r="K34" i="1"/>
  <c r="L34" i="1"/>
  <c r="M34" i="1"/>
  <c r="N34" i="1"/>
  <c r="O34" i="1"/>
  <c r="K35" i="1"/>
  <c r="L35" i="1"/>
  <c r="M35" i="1"/>
  <c r="N35" i="1"/>
  <c r="O35" i="1"/>
  <c r="K36" i="1"/>
  <c r="L36" i="1"/>
  <c r="M36" i="1"/>
  <c r="N36" i="1"/>
  <c r="O36" i="1"/>
  <c r="K37" i="1"/>
  <c r="L37" i="1"/>
  <c r="M37" i="1"/>
  <c r="N37" i="1"/>
  <c r="O37" i="1"/>
  <c r="K38" i="1"/>
  <c r="L38" i="1"/>
  <c r="M38" i="1"/>
  <c r="N38" i="1"/>
  <c r="O38" i="1"/>
  <c r="K39" i="1"/>
  <c r="L39" i="1"/>
  <c r="M39" i="1"/>
  <c r="N39" i="1"/>
  <c r="O39" i="1"/>
  <c r="K40" i="1"/>
  <c r="L40" i="1"/>
  <c r="M40" i="1"/>
  <c r="N40" i="1"/>
  <c r="O40" i="1"/>
  <c r="K41" i="1"/>
  <c r="L41" i="1"/>
  <c r="M41" i="1"/>
  <c r="N41" i="1"/>
  <c r="O41" i="1"/>
  <c r="K42" i="1"/>
  <c r="L42" i="1"/>
  <c r="M42" i="1"/>
  <c r="N42" i="1"/>
  <c r="O42" i="1"/>
  <c r="K43" i="1"/>
  <c r="L43" i="1"/>
  <c r="M43" i="1"/>
  <c r="N43" i="1"/>
  <c r="O43" i="1"/>
  <c r="K44" i="1"/>
  <c r="L44" i="1"/>
  <c r="M44" i="1"/>
  <c r="N44" i="1"/>
  <c r="O44" i="1"/>
  <c r="K45" i="1"/>
  <c r="L45" i="1"/>
  <c r="M45" i="1"/>
  <c r="N45" i="1"/>
  <c r="O45" i="1"/>
  <c r="K46" i="1"/>
  <c r="L46" i="1"/>
  <c r="M46" i="1"/>
  <c r="N46" i="1"/>
  <c r="O46" i="1"/>
  <c r="K47" i="1"/>
  <c r="L47" i="1"/>
  <c r="M47" i="1"/>
  <c r="N47" i="1"/>
  <c r="O47" i="1"/>
  <c r="K48" i="1"/>
  <c r="L48" i="1"/>
  <c r="M48" i="1"/>
  <c r="N48" i="1"/>
  <c r="O48" i="1"/>
  <c r="K49" i="1"/>
  <c r="L49" i="1"/>
  <c r="M49" i="1"/>
  <c r="N49" i="1"/>
  <c r="O49" i="1"/>
  <c r="K50" i="1"/>
  <c r="L50" i="1"/>
  <c r="M50" i="1"/>
  <c r="N50" i="1"/>
  <c r="O50" i="1"/>
  <c r="K51" i="1"/>
  <c r="L51" i="1"/>
  <c r="M51" i="1"/>
  <c r="N51" i="1"/>
  <c r="O51" i="1"/>
  <c r="K52" i="1"/>
  <c r="L52" i="1"/>
  <c r="M52" i="1"/>
  <c r="N52" i="1"/>
  <c r="O52" i="1"/>
  <c r="K53" i="1"/>
  <c r="L53" i="1"/>
  <c r="M53" i="1"/>
  <c r="N53" i="1"/>
  <c r="O53" i="1"/>
  <c r="K54" i="1"/>
  <c r="L54" i="1"/>
  <c r="M54" i="1"/>
  <c r="N54" i="1"/>
  <c r="O54" i="1"/>
  <c r="K55" i="1"/>
  <c r="L55" i="1"/>
  <c r="M55" i="1"/>
  <c r="N55" i="1"/>
  <c r="O55" i="1"/>
  <c r="K56" i="1"/>
  <c r="L56" i="1"/>
  <c r="M56" i="1"/>
  <c r="N56" i="1"/>
  <c r="O56" i="1"/>
  <c r="K57" i="1"/>
  <c r="L57" i="1"/>
  <c r="M57" i="1"/>
  <c r="N57" i="1"/>
  <c r="O57" i="1"/>
  <c r="K58" i="1"/>
  <c r="L58" i="1"/>
  <c r="M58" i="1"/>
  <c r="N58" i="1"/>
  <c r="O58" i="1"/>
  <c r="K59" i="1"/>
  <c r="L59" i="1"/>
  <c r="M59" i="1"/>
  <c r="N59" i="1"/>
  <c r="O59" i="1"/>
  <c r="K60" i="1"/>
  <c r="L60" i="1"/>
  <c r="M60" i="1"/>
  <c r="N60" i="1"/>
  <c r="O60" i="1"/>
  <c r="K61" i="1"/>
  <c r="L61" i="1"/>
  <c r="M61" i="1"/>
  <c r="N61" i="1"/>
  <c r="O61" i="1"/>
  <c r="K62" i="1"/>
  <c r="L62" i="1"/>
  <c r="M62" i="1"/>
  <c r="N62" i="1"/>
  <c r="O62" i="1"/>
  <c r="K63" i="1"/>
  <c r="L63" i="1"/>
  <c r="M63" i="1"/>
  <c r="N63" i="1"/>
  <c r="O63" i="1"/>
  <c r="K64" i="1"/>
  <c r="L64" i="1"/>
  <c r="M64" i="1"/>
  <c r="N64" i="1"/>
  <c r="O64" i="1"/>
  <c r="K65" i="1"/>
  <c r="L65" i="1"/>
  <c r="M65" i="1"/>
  <c r="N65" i="1"/>
  <c r="O65" i="1"/>
  <c r="K66" i="1"/>
  <c r="L66" i="1"/>
  <c r="M66" i="1"/>
  <c r="N66" i="1"/>
  <c r="O66" i="1"/>
  <c r="K67" i="1"/>
  <c r="L67" i="1"/>
  <c r="M67" i="1"/>
  <c r="N67" i="1"/>
  <c r="O67" i="1"/>
  <c r="K68" i="1"/>
  <c r="L68" i="1"/>
  <c r="M68" i="1"/>
  <c r="N68" i="1"/>
  <c r="O68" i="1"/>
  <c r="K69" i="1"/>
  <c r="L69" i="1"/>
  <c r="M69" i="1"/>
  <c r="N69" i="1"/>
  <c r="O69" i="1"/>
  <c r="K70" i="1"/>
  <c r="L70" i="1"/>
  <c r="M70" i="1"/>
  <c r="N70" i="1"/>
  <c r="O70" i="1"/>
  <c r="K71" i="1"/>
  <c r="L71" i="1"/>
  <c r="M71" i="1"/>
  <c r="N71" i="1"/>
  <c r="O71" i="1"/>
  <c r="K72" i="1"/>
  <c r="L72" i="1"/>
  <c r="M72" i="1"/>
  <c r="N72" i="1"/>
  <c r="O72" i="1"/>
  <c r="K73" i="1"/>
  <c r="L73" i="1"/>
  <c r="M73" i="1"/>
  <c r="N73" i="1"/>
  <c r="O73" i="1"/>
  <c r="K74" i="1"/>
  <c r="L74" i="1"/>
  <c r="M74" i="1"/>
  <c r="N74" i="1"/>
  <c r="O74" i="1"/>
  <c r="K75" i="1"/>
  <c r="L75" i="1"/>
  <c r="M75" i="1"/>
  <c r="N75" i="1"/>
  <c r="O75" i="1"/>
  <c r="K76" i="1"/>
  <c r="L76" i="1"/>
  <c r="M76" i="1"/>
  <c r="N76" i="1"/>
  <c r="O76" i="1"/>
  <c r="K77" i="1"/>
  <c r="L77" i="1"/>
  <c r="M77" i="1"/>
  <c r="N77" i="1"/>
  <c r="O77" i="1"/>
  <c r="K78" i="1"/>
  <c r="L78" i="1"/>
  <c r="M78" i="1"/>
  <c r="N78" i="1"/>
  <c r="O78" i="1"/>
  <c r="K79" i="1"/>
  <c r="L79" i="1"/>
  <c r="M79" i="1"/>
  <c r="N79" i="1"/>
  <c r="O79" i="1"/>
  <c r="K80" i="1"/>
  <c r="L80" i="1"/>
  <c r="M80" i="1"/>
  <c r="N80" i="1"/>
  <c r="O80" i="1"/>
  <c r="K81" i="1"/>
  <c r="L81" i="1"/>
  <c r="M81" i="1"/>
  <c r="N81" i="1"/>
  <c r="O81" i="1"/>
  <c r="K82" i="1"/>
  <c r="L82" i="1"/>
  <c r="M82" i="1"/>
  <c r="N82" i="1"/>
  <c r="O82" i="1"/>
  <c r="K83" i="1"/>
  <c r="L83" i="1"/>
  <c r="M83" i="1"/>
  <c r="N83" i="1"/>
  <c r="O83" i="1"/>
  <c r="K84" i="1"/>
  <c r="L84" i="1"/>
  <c r="M84" i="1"/>
  <c r="N84" i="1"/>
  <c r="O84" i="1"/>
  <c r="K85" i="1"/>
  <c r="L85" i="1"/>
  <c r="M85" i="1"/>
  <c r="N85" i="1"/>
  <c r="O85" i="1"/>
  <c r="K86" i="1"/>
  <c r="L86" i="1"/>
  <c r="M86" i="1"/>
  <c r="N86" i="1"/>
  <c r="O86" i="1"/>
  <c r="K87" i="1"/>
  <c r="L87" i="1"/>
  <c r="M87" i="1"/>
  <c r="N87" i="1"/>
  <c r="O87" i="1"/>
  <c r="K88" i="1"/>
  <c r="L88" i="1"/>
  <c r="M88" i="1"/>
  <c r="N88" i="1"/>
  <c r="O88" i="1"/>
  <c r="K89" i="1"/>
  <c r="L89" i="1"/>
  <c r="M89" i="1"/>
  <c r="N89" i="1"/>
  <c r="O89" i="1"/>
  <c r="K90" i="1"/>
  <c r="L90" i="1"/>
  <c r="M90" i="1"/>
  <c r="N90" i="1"/>
  <c r="O90" i="1"/>
  <c r="K91" i="1"/>
  <c r="L91" i="1"/>
  <c r="M91" i="1"/>
  <c r="N91" i="1"/>
  <c r="O91" i="1"/>
  <c r="K92" i="1"/>
  <c r="L92" i="1"/>
  <c r="M92" i="1"/>
  <c r="N92" i="1"/>
  <c r="O92" i="1"/>
  <c r="K93" i="1"/>
  <c r="L93" i="1"/>
  <c r="M93" i="1"/>
  <c r="N93" i="1"/>
  <c r="O93" i="1"/>
  <c r="K94" i="1"/>
  <c r="L94" i="1"/>
  <c r="M94" i="1"/>
  <c r="N94" i="1"/>
  <c r="O94" i="1"/>
  <c r="K95" i="1"/>
  <c r="L95" i="1"/>
  <c r="M95" i="1"/>
  <c r="N95" i="1"/>
  <c r="O95" i="1"/>
  <c r="K96" i="1"/>
  <c r="L96" i="1"/>
  <c r="M96" i="1"/>
  <c r="N96" i="1"/>
  <c r="O96" i="1"/>
  <c r="K97" i="1"/>
  <c r="L97" i="1"/>
  <c r="M97" i="1"/>
  <c r="N97" i="1"/>
  <c r="O97" i="1"/>
  <c r="K98" i="1"/>
  <c r="L98" i="1"/>
  <c r="M98" i="1"/>
  <c r="N98" i="1"/>
  <c r="O98" i="1"/>
  <c r="K99" i="1"/>
  <c r="L99" i="1"/>
  <c r="M99" i="1"/>
  <c r="N99" i="1"/>
  <c r="O99" i="1"/>
  <c r="K100" i="1"/>
  <c r="L100" i="1"/>
  <c r="M100" i="1"/>
  <c r="N100" i="1"/>
  <c r="O100" i="1"/>
  <c r="K101" i="1"/>
  <c r="L101" i="1"/>
  <c r="M101" i="1"/>
  <c r="N101" i="1"/>
  <c r="O101" i="1"/>
  <c r="K102" i="1"/>
  <c r="L102" i="1"/>
  <c r="M102" i="1"/>
  <c r="N102" i="1"/>
  <c r="O102" i="1"/>
  <c r="K103" i="1"/>
  <c r="L103" i="1"/>
  <c r="M103" i="1"/>
  <c r="N103" i="1"/>
  <c r="O103" i="1"/>
  <c r="K104" i="1"/>
  <c r="L104" i="1"/>
  <c r="M104" i="1"/>
  <c r="N104" i="1"/>
  <c r="O104" i="1"/>
  <c r="K105" i="1"/>
  <c r="L105" i="1"/>
  <c r="M105" i="1"/>
  <c r="N105" i="1"/>
  <c r="O105" i="1"/>
  <c r="K106" i="1"/>
  <c r="L106" i="1"/>
  <c r="M106" i="1"/>
  <c r="N106" i="1"/>
  <c r="O106" i="1"/>
  <c r="K107" i="1"/>
  <c r="L107" i="1"/>
  <c r="M107" i="1"/>
  <c r="N107" i="1"/>
  <c r="O107" i="1"/>
  <c r="K108" i="1"/>
  <c r="L108" i="1"/>
  <c r="M108" i="1"/>
  <c r="N108" i="1"/>
  <c r="O108" i="1"/>
  <c r="K109" i="1"/>
  <c r="L109" i="1"/>
  <c r="M109" i="1"/>
  <c r="N109" i="1"/>
  <c r="O109" i="1"/>
  <c r="K110" i="1"/>
  <c r="L110" i="1"/>
  <c r="M110" i="1"/>
  <c r="N110" i="1"/>
  <c r="O110" i="1"/>
  <c r="K111" i="1"/>
  <c r="L111" i="1"/>
  <c r="M111" i="1"/>
  <c r="N111" i="1"/>
  <c r="O111" i="1"/>
  <c r="K112" i="1"/>
  <c r="L112" i="1"/>
  <c r="M112" i="1"/>
  <c r="N112" i="1"/>
  <c r="O112" i="1"/>
  <c r="K113" i="1"/>
  <c r="L113" i="1"/>
  <c r="M113" i="1"/>
  <c r="N113" i="1"/>
  <c r="O113" i="1"/>
  <c r="K114" i="1"/>
  <c r="L114" i="1"/>
  <c r="M114" i="1"/>
  <c r="N114" i="1"/>
  <c r="O114" i="1"/>
  <c r="K115" i="1"/>
  <c r="L115" i="1"/>
  <c r="M115" i="1"/>
  <c r="N115" i="1"/>
  <c r="O115" i="1"/>
  <c r="K116" i="1"/>
  <c r="L116" i="1"/>
  <c r="M116" i="1"/>
  <c r="N116" i="1"/>
  <c r="O116" i="1"/>
  <c r="K117" i="1"/>
  <c r="L117" i="1"/>
  <c r="M117" i="1"/>
  <c r="N117" i="1"/>
  <c r="O117" i="1"/>
  <c r="K118" i="1"/>
  <c r="L118" i="1"/>
  <c r="M118" i="1"/>
  <c r="N118" i="1"/>
  <c r="O118" i="1"/>
  <c r="K119" i="1"/>
  <c r="L119" i="1"/>
  <c r="M119" i="1"/>
  <c r="N119" i="1"/>
  <c r="O119" i="1"/>
  <c r="K120" i="1"/>
  <c r="L120" i="1"/>
  <c r="M120" i="1"/>
  <c r="N120" i="1"/>
  <c r="O120" i="1"/>
  <c r="K121" i="1"/>
  <c r="L121" i="1"/>
  <c r="M121" i="1"/>
  <c r="N121" i="1"/>
  <c r="O121" i="1"/>
  <c r="K122" i="1"/>
  <c r="L122" i="1"/>
  <c r="M122" i="1"/>
  <c r="N122" i="1"/>
  <c r="O122" i="1"/>
  <c r="K123" i="1"/>
  <c r="L123" i="1"/>
  <c r="M123" i="1"/>
  <c r="N123" i="1"/>
  <c r="O123" i="1"/>
  <c r="K124" i="1"/>
  <c r="L124" i="1"/>
  <c r="M124" i="1"/>
  <c r="N124" i="1"/>
  <c r="O124" i="1"/>
  <c r="K125" i="1"/>
  <c r="L125" i="1"/>
  <c r="M125" i="1"/>
  <c r="N125" i="1"/>
  <c r="O125" i="1"/>
  <c r="K126" i="1"/>
  <c r="L126" i="1"/>
  <c r="M126" i="1"/>
  <c r="N126" i="1"/>
  <c r="O126" i="1"/>
  <c r="K127" i="1"/>
  <c r="L127" i="1"/>
  <c r="M127" i="1"/>
  <c r="N127" i="1"/>
  <c r="O127" i="1"/>
  <c r="K128" i="1"/>
  <c r="L128" i="1"/>
  <c r="M128" i="1"/>
  <c r="N128" i="1"/>
  <c r="O128" i="1"/>
  <c r="K129" i="1"/>
  <c r="L129" i="1"/>
  <c r="M129" i="1"/>
  <c r="N129" i="1"/>
  <c r="O129" i="1"/>
  <c r="K130" i="1"/>
  <c r="L130" i="1"/>
  <c r="M130" i="1"/>
  <c r="N130" i="1"/>
  <c r="O130" i="1"/>
  <c r="K131" i="1"/>
  <c r="L131" i="1"/>
  <c r="M131" i="1"/>
  <c r="N131" i="1"/>
  <c r="O131" i="1"/>
  <c r="K132" i="1"/>
  <c r="L132" i="1"/>
  <c r="M132" i="1"/>
  <c r="N132" i="1"/>
  <c r="O132" i="1"/>
  <c r="K133" i="1"/>
  <c r="L133" i="1"/>
  <c r="M133" i="1"/>
  <c r="N133" i="1"/>
  <c r="O133" i="1"/>
  <c r="K134" i="1"/>
  <c r="L134" i="1"/>
  <c r="M134" i="1"/>
  <c r="N134" i="1"/>
  <c r="O134" i="1"/>
  <c r="K135" i="1"/>
  <c r="L135" i="1"/>
  <c r="M135" i="1"/>
  <c r="N135" i="1"/>
  <c r="O135" i="1"/>
  <c r="K136" i="1"/>
  <c r="L136" i="1"/>
  <c r="M136" i="1"/>
  <c r="N136" i="1"/>
  <c r="O136" i="1"/>
  <c r="K137" i="1"/>
  <c r="L137" i="1"/>
  <c r="M137" i="1"/>
  <c r="N137" i="1"/>
  <c r="O137" i="1"/>
  <c r="K138" i="1"/>
  <c r="L138" i="1"/>
  <c r="M138" i="1"/>
  <c r="N138" i="1"/>
  <c r="O138" i="1"/>
  <c r="K139" i="1"/>
  <c r="L139" i="1"/>
  <c r="M139" i="1"/>
  <c r="N139" i="1"/>
  <c r="O139" i="1"/>
  <c r="K140" i="1"/>
  <c r="L140" i="1"/>
  <c r="M140" i="1"/>
  <c r="N140" i="1"/>
  <c r="O140" i="1"/>
  <c r="K141" i="1"/>
  <c r="L141" i="1"/>
  <c r="M141" i="1"/>
  <c r="N141" i="1"/>
  <c r="O141" i="1"/>
  <c r="K142" i="1"/>
  <c r="L142" i="1"/>
  <c r="M142" i="1"/>
  <c r="N142" i="1"/>
  <c r="O142" i="1"/>
  <c r="K143" i="1"/>
  <c r="L143" i="1"/>
  <c r="M143" i="1"/>
  <c r="N143" i="1"/>
  <c r="O143" i="1"/>
  <c r="K144" i="1"/>
  <c r="L144" i="1"/>
  <c r="M144" i="1"/>
  <c r="N144" i="1"/>
  <c r="O144" i="1"/>
  <c r="K145" i="1"/>
  <c r="L145" i="1"/>
  <c r="M145" i="1"/>
  <c r="N145" i="1"/>
  <c r="O145" i="1"/>
  <c r="K146" i="1"/>
  <c r="L146" i="1"/>
  <c r="M146" i="1"/>
  <c r="N146" i="1"/>
  <c r="O146" i="1"/>
  <c r="K147" i="1"/>
  <c r="L147" i="1"/>
  <c r="M147" i="1"/>
  <c r="N147" i="1"/>
  <c r="O147" i="1"/>
  <c r="K148" i="1"/>
  <c r="L148" i="1"/>
  <c r="M148" i="1"/>
  <c r="N148" i="1"/>
  <c r="O148" i="1"/>
  <c r="K149" i="1"/>
  <c r="L149" i="1"/>
  <c r="M149" i="1"/>
  <c r="N149" i="1"/>
  <c r="O149" i="1"/>
  <c r="K150" i="1"/>
  <c r="L150" i="1"/>
  <c r="M150" i="1"/>
  <c r="N150" i="1"/>
  <c r="O150" i="1"/>
  <c r="K151" i="1"/>
  <c r="L151" i="1"/>
  <c r="M151" i="1"/>
  <c r="N151" i="1"/>
  <c r="O151" i="1"/>
  <c r="K152" i="1"/>
  <c r="L152" i="1"/>
  <c r="M152" i="1"/>
  <c r="N152" i="1"/>
  <c r="O152" i="1"/>
  <c r="K153" i="1"/>
  <c r="L153" i="1"/>
  <c r="M153" i="1"/>
  <c r="N153" i="1"/>
  <c r="O153" i="1"/>
  <c r="K154" i="1"/>
  <c r="L154" i="1"/>
  <c r="M154" i="1"/>
  <c r="N154" i="1"/>
  <c r="O154" i="1"/>
  <c r="K155" i="1"/>
  <c r="L155" i="1"/>
  <c r="M155" i="1"/>
  <c r="N155" i="1"/>
  <c r="O155" i="1"/>
  <c r="K156" i="1"/>
  <c r="L156" i="1"/>
  <c r="M156" i="1"/>
  <c r="N156" i="1"/>
  <c r="O156" i="1"/>
  <c r="K157" i="1"/>
  <c r="L157" i="1"/>
  <c r="M157" i="1"/>
  <c r="N157" i="1"/>
  <c r="O157" i="1"/>
  <c r="K158" i="1"/>
  <c r="L158" i="1"/>
  <c r="M158" i="1"/>
  <c r="N158" i="1"/>
  <c r="O158" i="1"/>
  <c r="K159" i="1"/>
  <c r="L159" i="1"/>
  <c r="M159" i="1"/>
  <c r="N159" i="1"/>
  <c r="O159" i="1"/>
  <c r="K160" i="1"/>
  <c r="L160" i="1"/>
  <c r="M160" i="1"/>
  <c r="N160" i="1"/>
  <c r="O160" i="1"/>
  <c r="K161" i="1"/>
  <c r="L161" i="1"/>
  <c r="M161" i="1"/>
  <c r="N161" i="1"/>
  <c r="O161" i="1"/>
  <c r="K162" i="1"/>
  <c r="L162" i="1"/>
  <c r="M162" i="1"/>
  <c r="N162" i="1"/>
  <c r="O162" i="1"/>
  <c r="K163" i="1"/>
  <c r="L163" i="1"/>
  <c r="M163" i="1"/>
  <c r="N163" i="1"/>
  <c r="O163" i="1"/>
  <c r="K164" i="1"/>
  <c r="L164" i="1"/>
  <c r="M164" i="1"/>
  <c r="N164" i="1"/>
  <c r="O164" i="1"/>
  <c r="K165" i="1"/>
  <c r="L165" i="1"/>
  <c r="M165" i="1"/>
  <c r="N165" i="1"/>
  <c r="O165" i="1"/>
  <c r="K166" i="1"/>
  <c r="L166" i="1"/>
  <c r="M166" i="1"/>
  <c r="N166" i="1"/>
  <c r="O166" i="1"/>
  <c r="K167" i="1"/>
  <c r="L167" i="1"/>
  <c r="M167" i="1"/>
  <c r="N167" i="1"/>
  <c r="O167" i="1"/>
  <c r="K168" i="1"/>
  <c r="L168" i="1"/>
  <c r="M168" i="1"/>
  <c r="N168" i="1"/>
  <c r="O168" i="1"/>
  <c r="K169" i="1"/>
  <c r="L169" i="1"/>
  <c r="M169" i="1"/>
  <c r="N169" i="1"/>
  <c r="O169" i="1"/>
  <c r="K170" i="1"/>
  <c r="L170" i="1"/>
  <c r="M170" i="1"/>
  <c r="N170" i="1"/>
  <c r="O170" i="1"/>
  <c r="K171" i="1"/>
  <c r="L171" i="1"/>
  <c r="M171" i="1"/>
  <c r="N171" i="1"/>
  <c r="O171" i="1"/>
  <c r="K172" i="1"/>
  <c r="L172" i="1"/>
  <c r="M172" i="1"/>
  <c r="N172" i="1"/>
  <c r="O172" i="1"/>
  <c r="K173" i="1"/>
  <c r="L173" i="1"/>
  <c r="M173" i="1"/>
  <c r="N173" i="1"/>
  <c r="O173" i="1"/>
  <c r="K174" i="1"/>
  <c r="L174" i="1"/>
  <c r="M174" i="1"/>
  <c r="N174" i="1"/>
  <c r="O174" i="1"/>
  <c r="K175" i="1"/>
  <c r="L175" i="1"/>
  <c r="M175" i="1"/>
  <c r="N175" i="1"/>
  <c r="O175" i="1"/>
  <c r="K176" i="1"/>
  <c r="L176" i="1"/>
  <c r="M176" i="1"/>
  <c r="N176" i="1"/>
  <c r="O176" i="1"/>
  <c r="K177" i="1"/>
  <c r="L177" i="1"/>
  <c r="M177" i="1"/>
  <c r="N177" i="1"/>
  <c r="O177" i="1"/>
  <c r="K178" i="1"/>
  <c r="L178" i="1"/>
  <c r="M178" i="1"/>
  <c r="N178" i="1"/>
  <c r="O178" i="1"/>
  <c r="K179" i="1"/>
  <c r="L179" i="1"/>
  <c r="M179" i="1"/>
  <c r="N179" i="1"/>
  <c r="O179" i="1"/>
  <c r="K180" i="1"/>
  <c r="L180" i="1"/>
  <c r="M180" i="1"/>
  <c r="N180" i="1"/>
  <c r="O180" i="1"/>
  <c r="K181" i="1"/>
  <c r="L181" i="1"/>
  <c r="M181" i="1"/>
  <c r="N181" i="1"/>
  <c r="O181" i="1"/>
  <c r="K182" i="1"/>
  <c r="L182" i="1"/>
  <c r="M182" i="1"/>
  <c r="N182" i="1"/>
  <c r="O182" i="1"/>
  <c r="K183" i="1"/>
  <c r="L183" i="1"/>
  <c r="M183" i="1"/>
  <c r="N183" i="1"/>
  <c r="O183" i="1"/>
  <c r="K184" i="1"/>
  <c r="L184" i="1"/>
  <c r="M184" i="1"/>
  <c r="N184" i="1"/>
  <c r="O184" i="1"/>
  <c r="K185" i="1"/>
  <c r="L185" i="1"/>
  <c r="M185" i="1"/>
  <c r="N185" i="1"/>
  <c r="O185" i="1"/>
  <c r="K186" i="1"/>
  <c r="L186" i="1"/>
  <c r="M186" i="1"/>
  <c r="N186" i="1"/>
  <c r="O186" i="1"/>
  <c r="K187" i="1"/>
  <c r="L187" i="1"/>
  <c r="M187" i="1"/>
  <c r="N187" i="1"/>
  <c r="O187" i="1"/>
  <c r="K188" i="1"/>
  <c r="L188" i="1"/>
  <c r="M188" i="1"/>
  <c r="N188" i="1"/>
  <c r="O188" i="1"/>
  <c r="K189" i="1"/>
  <c r="L189" i="1"/>
  <c r="M189" i="1"/>
  <c r="N189" i="1"/>
  <c r="O189" i="1"/>
  <c r="K190" i="1"/>
  <c r="L190" i="1"/>
  <c r="M190" i="1"/>
  <c r="N190" i="1"/>
  <c r="O190" i="1"/>
  <c r="K191" i="1"/>
  <c r="L191" i="1"/>
  <c r="M191" i="1"/>
  <c r="N191" i="1"/>
  <c r="O191" i="1"/>
  <c r="K192" i="1"/>
  <c r="L192" i="1"/>
  <c r="M192" i="1"/>
  <c r="N192" i="1"/>
  <c r="O192" i="1"/>
  <c r="K193" i="1"/>
  <c r="L193" i="1"/>
  <c r="M193" i="1"/>
  <c r="N193" i="1"/>
  <c r="O193" i="1"/>
  <c r="K194" i="1"/>
  <c r="L194" i="1"/>
  <c r="M194" i="1"/>
  <c r="N194" i="1"/>
  <c r="O194" i="1"/>
  <c r="K195" i="1"/>
  <c r="L195" i="1"/>
  <c r="M195" i="1"/>
  <c r="N195" i="1"/>
  <c r="O195" i="1"/>
  <c r="K196" i="1"/>
  <c r="L196" i="1"/>
  <c r="M196" i="1"/>
  <c r="N196" i="1"/>
  <c r="O196" i="1"/>
  <c r="K197" i="1"/>
  <c r="L197" i="1"/>
  <c r="M197" i="1"/>
  <c r="N197" i="1"/>
  <c r="O197" i="1"/>
  <c r="K198" i="1"/>
  <c r="L198" i="1"/>
  <c r="M198" i="1"/>
  <c r="N198" i="1"/>
  <c r="O198" i="1"/>
  <c r="K199" i="1"/>
  <c r="L199" i="1"/>
  <c r="M199" i="1"/>
  <c r="N199" i="1"/>
  <c r="O199" i="1"/>
  <c r="K200" i="1"/>
  <c r="L200" i="1"/>
  <c r="M200" i="1"/>
  <c r="N200" i="1"/>
  <c r="O200" i="1"/>
  <c r="K201" i="1"/>
  <c r="L201" i="1"/>
  <c r="M201" i="1"/>
  <c r="N201" i="1"/>
  <c r="O201" i="1"/>
  <c r="K202" i="1"/>
  <c r="L202" i="1"/>
  <c r="M202" i="1"/>
  <c r="N202" i="1"/>
  <c r="O202" i="1"/>
  <c r="K203" i="1"/>
  <c r="L203" i="1"/>
  <c r="M203" i="1"/>
  <c r="N203" i="1"/>
  <c r="O203" i="1"/>
  <c r="K204" i="1"/>
  <c r="L204" i="1"/>
  <c r="M204" i="1"/>
  <c r="N204" i="1"/>
  <c r="O204" i="1"/>
  <c r="K205" i="1"/>
  <c r="L205" i="1"/>
  <c r="M205" i="1"/>
  <c r="N205" i="1"/>
  <c r="O205" i="1"/>
  <c r="K206" i="1"/>
  <c r="L206" i="1"/>
  <c r="M206" i="1"/>
  <c r="N206" i="1"/>
  <c r="O206" i="1"/>
  <c r="K207" i="1"/>
  <c r="L207" i="1"/>
  <c r="M207" i="1"/>
  <c r="N207" i="1"/>
  <c r="O207" i="1"/>
  <c r="K208" i="1"/>
  <c r="L208" i="1"/>
  <c r="M208" i="1"/>
  <c r="N208" i="1"/>
  <c r="O208" i="1"/>
  <c r="K209" i="1"/>
  <c r="L209" i="1"/>
  <c r="M209" i="1"/>
  <c r="N209" i="1"/>
  <c r="O209" i="1"/>
  <c r="K210" i="1"/>
  <c r="L210" i="1"/>
  <c r="M210" i="1"/>
  <c r="N210" i="1"/>
  <c r="O210" i="1"/>
  <c r="K211" i="1"/>
  <c r="L211" i="1"/>
  <c r="M211" i="1"/>
  <c r="N211" i="1"/>
  <c r="O211" i="1"/>
  <c r="K212" i="1"/>
  <c r="L212" i="1"/>
  <c r="M212" i="1"/>
  <c r="N212" i="1"/>
  <c r="O212" i="1"/>
  <c r="K213" i="1"/>
  <c r="L213" i="1"/>
  <c r="M213" i="1"/>
  <c r="N213" i="1"/>
  <c r="O213" i="1"/>
  <c r="K214" i="1"/>
  <c r="L214" i="1"/>
  <c r="M214" i="1"/>
  <c r="N214" i="1"/>
  <c r="O214" i="1"/>
  <c r="K215" i="1"/>
  <c r="L215" i="1"/>
  <c r="M215" i="1"/>
  <c r="N215" i="1"/>
  <c r="O215" i="1"/>
  <c r="K216" i="1"/>
  <c r="L216" i="1"/>
  <c r="M216" i="1"/>
  <c r="N216" i="1"/>
  <c r="O216" i="1"/>
  <c r="K217" i="1"/>
  <c r="L217" i="1"/>
  <c r="M217" i="1"/>
  <c r="N217" i="1"/>
  <c r="O217" i="1"/>
  <c r="K218" i="1"/>
  <c r="L218" i="1"/>
  <c r="M218" i="1"/>
  <c r="N218" i="1"/>
  <c r="O218" i="1"/>
  <c r="K219" i="1"/>
  <c r="L219" i="1"/>
  <c r="M219" i="1"/>
  <c r="N219" i="1"/>
  <c r="O219" i="1"/>
  <c r="K220" i="1"/>
  <c r="L220" i="1"/>
  <c r="M220" i="1"/>
  <c r="N220" i="1"/>
  <c r="O220" i="1"/>
  <c r="K221" i="1"/>
  <c r="L221" i="1"/>
  <c r="M221" i="1"/>
  <c r="N221" i="1"/>
  <c r="O221" i="1"/>
  <c r="K222" i="1"/>
  <c r="L222" i="1"/>
  <c r="M222" i="1"/>
  <c r="N222" i="1"/>
  <c r="O222" i="1"/>
  <c r="K223" i="1"/>
  <c r="L223" i="1"/>
  <c r="M223" i="1"/>
  <c r="N223" i="1"/>
  <c r="O223" i="1"/>
  <c r="K224" i="1"/>
  <c r="L224" i="1"/>
  <c r="M224" i="1"/>
  <c r="N224" i="1"/>
  <c r="O224" i="1"/>
  <c r="K225" i="1"/>
  <c r="L225" i="1"/>
  <c r="M225" i="1"/>
  <c r="N225" i="1"/>
  <c r="O225" i="1"/>
  <c r="L2" i="1"/>
  <c r="K2" i="1"/>
  <c r="O2" i="1"/>
  <c r="N2" i="1"/>
  <c r="M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" i="1"/>
  <c r="J3" i="1"/>
  <c r="P3" i="1"/>
  <c r="Q3" i="1"/>
  <c r="R3" i="1"/>
  <c r="J4" i="1"/>
  <c r="P4" i="1"/>
  <c r="Q4" i="1"/>
  <c r="R4" i="1"/>
  <c r="J5" i="1"/>
  <c r="P5" i="1"/>
  <c r="Q5" i="1"/>
  <c r="R5" i="1"/>
  <c r="J6" i="1"/>
  <c r="P6" i="1"/>
  <c r="Q6" i="1"/>
  <c r="R6" i="1"/>
  <c r="J7" i="1"/>
  <c r="P7" i="1"/>
  <c r="Q7" i="1"/>
  <c r="R7" i="1"/>
  <c r="J8" i="1"/>
  <c r="P8" i="1"/>
  <c r="Q8" i="1"/>
  <c r="R8" i="1"/>
  <c r="J9" i="1"/>
  <c r="P9" i="1"/>
  <c r="Q9" i="1"/>
  <c r="R9" i="1"/>
  <c r="J10" i="1"/>
  <c r="P10" i="1"/>
  <c r="Q10" i="1"/>
  <c r="R10" i="1"/>
  <c r="J11" i="1"/>
  <c r="P11" i="1"/>
  <c r="Q11" i="1"/>
  <c r="R11" i="1"/>
  <c r="J12" i="1"/>
  <c r="P12" i="1"/>
  <c r="Q12" i="1"/>
  <c r="R12" i="1"/>
  <c r="J13" i="1"/>
  <c r="P13" i="1"/>
  <c r="Q13" i="1"/>
  <c r="R13" i="1"/>
  <c r="J14" i="1"/>
  <c r="P14" i="1"/>
  <c r="Q14" i="1"/>
  <c r="R14" i="1"/>
  <c r="J15" i="1"/>
  <c r="P15" i="1"/>
  <c r="Q15" i="1"/>
  <c r="R15" i="1"/>
  <c r="J16" i="1"/>
  <c r="P16" i="1"/>
  <c r="Q16" i="1"/>
  <c r="R16" i="1"/>
  <c r="J17" i="1"/>
  <c r="P17" i="1"/>
  <c r="Q17" i="1"/>
  <c r="R17" i="1"/>
  <c r="J18" i="1"/>
  <c r="P18" i="1"/>
  <c r="Q18" i="1"/>
  <c r="R18" i="1"/>
  <c r="J19" i="1"/>
  <c r="P19" i="1"/>
  <c r="Q19" i="1"/>
  <c r="R19" i="1"/>
  <c r="J20" i="1"/>
  <c r="P20" i="1"/>
  <c r="Q20" i="1"/>
  <c r="R20" i="1"/>
  <c r="J21" i="1"/>
  <c r="P21" i="1"/>
  <c r="Q21" i="1"/>
  <c r="R21" i="1"/>
  <c r="J22" i="1"/>
  <c r="P22" i="1"/>
  <c r="Q22" i="1"/>
  <c r="R22" i="1"/>
  <c r="J23" i="1"/>
  <c r="P23" i="1"/>
  <c r="Q23" i="1"/>
  <c r="R23" i="1"/>
  <c r="J24" i="1"/>
  <c r="P24" i="1"/>
  <c r="Q24" i="1"/>
  <c r="R24" i="1"/>
  <c r="J25" i="1"/>
  <c r="P25" i="1"/>
  <c r="Q25" i="1"/>
  <c r="R25" i="1"/>
  <c r="J26" i="1"/>
  <c r="P26" i="1"/>
  <c r="Q26" i="1"/>
  <c r="R26" i="1"/>
  <c r="J27" i="1"/>
  <c r="P27" i="1"/>
  <c r="Q27" i="1"/>
  <c r="R27" i="1"/>
  <c r="J28" i="1"/>
  <c r="P28" i="1"/>
  <c r="Q28" i="1"/>
  <c r="R28" i="1"/>
  <c r="J29" i="1"/>
  <c r="P29" i="1"/>
  <c r="Q29" i="1"/>
  <c r="R29" i="1"/>
  <c r="J30" i="1"/>
  <c r="P30" i="1"/>
  <c r="Q30" i="1"/>
  <c r="R30" i="1"/>
  <c r="J31" i="1"/>
  <c r="P31" i="1"/>
  <c r="Q31" i="1"/>
  <c r="R31" i="1"/>
  <c r="J32" i="1"/>
  <c r="P32" i="1"/>
  <c r="Q32" i="1"/>
  <c r="R32" i="1"/>
  <c r="J33" i="1"/>
  <c r="P33" i="1"/>
  <c r="Q33" i="1"/>
  <c r="R33" i="1"/>
  <c r="J34" i="1"/>
  <c r="P34" i="1"/>
  <c r="Q34" i="1"/>
  <c r="R34" i="1"/>
  <c r="J35" i="1"/>
  <c r="P35" i="1"/>
  <c r="Q35" i="1"/>
  <c r="R35" i="1"/>
  <c r="J36" i="1"/>
  <c r="P36" i="1"/>
  <c r="Q36" i="1"/>
  <c r="R36" i="1"/>
  <c r="J37" i="1"/>
  <c r="P37" i="1"/>
  <c r="Q37" i="1"/>
  <c r="R37" i="1"/>
  <c r="J38" i="1"/>
  <c r="P38" i="1"/>
  <c r="Q38" i="1"/>
  <c r="R38" i="1"/>
  <c r="J39" i="1"/>
  <c r="P39" i="1"/>
  <c r="Q39" i="1"/>
  <c r="R39" i="1"/>
  <c r="J40" i="1"/>
  <c r="P40" i="1"/>
  <c r="Q40" i="1"/>
  <c r="R40" i="1"/>
  <c r="J41" i="1"/>
  <c r="P41" i="1"/>
  <c r="Q41" i="1"/>
  <c r="R41" i="1"/>
  <c r="J42" i="1"/>
  <c r="P42" i="1"/>
  <c r="Q42" i="1"/>
  <c r="R42" i="1"/>
  <c r="J43" i="1"/>
  <c r="P43" i="1"/>
  <c r="Q43" i="1"/>
  <c r="R43" i="1"/>
  <c r="J44" i="1"/>
  <c r="P44" i="1"/>
  <c r="Q44" i="1"/>
  <c r="R44" i="1"/>
  <c r="J45" i="1"/>
  <c r="P45" i="1"/>
  <c r="Q45" i="1"/>
  <c r="R45" i="1"/>
  <c r="J46" i="1"/>
  <c r="P46" i="1"/>
  <c r="Q46" i="1"/>
  <c r="R46" i="1"/>
  <c r="J47" i="1"/>
  <c r="P47" i="1"/>
  <c r="Q47" i="1"/>
  <c r="R47" i="1"/>
  <c r="J48" i="1"/>
  <c r="P48" i="1"/>
  <c r="Q48" i="1"/>
  <c r="R48" i="1"/>
  <c r="J49" i="1"/>
  <c r="P49" i="1"/>
  <c r="Q49" i="1"/>
  <c r="R49" i="1"/>
  <c r="J50" i="1"/>
  <c r="P50" i="1"/>
  <c r="Q50" i="1"/>
  <c r="R50" i="1"/>
  <c r="J51" i="1"/>
  <c r="P51" i="1"/>
  <c r="Q51" i="1"/>
  <c r="R51" i="1"/>
  <c r="J52" i="1"/>
  <c r="P52" i="1"/>
  <c r="Q52" i="1"/>
  <c r="R52" i="1"/>
  <c r="J53" i="1"/>
  <c r="P53" i="1"/>
  <c r="Q53" i="1"/>
  <c r="R53" i="1"/>
  <c r="J54" i="1"/>
  <c r="P54" i="1"/>
  <c r="Q54" i="1"/>
  <c r="R54" i="1"/>
  <c r="J55" i="1"/>
  <c r="P55" i="1"/>
  <c r="Q55" i="1"/>
  <c r="R55" i="1"/>
  <c r="J56" i="1"/>
  <c r="P56" i="1"/>
  <c r="Q56" i="1"/>
  <c r="R56" i="1"/>
  <c r="J57" i="1"/>
  <c r="P57" i="1"/>
  <c r="Q57" i="1"/>
  <c r="R57" i="1"/>
  <c r="J58" i="1"/>
  <c r="P58" i="1"/>
  <c r="Q58" i="1"/>
  <c r="R58" i="1"/>
  <c r="J59" i="1"/>
  <c r="P59" i="1"/>
  <c r="Q59" i="1"/>
  <c r="R59" i="1"/>
  <c r="J60" i="1"/>
  <c r="P60" i="1"/>
  <c r="Q60" i="1"/>
  <c r="R60" i="1"/>
  <c r="J61" i="1"/>
  <c r="P61" i="1"/>
  <c r="Q61" i="1"/>
  <c r="R61" i="1"/>
  <c r="J62" i="1"/>
  <c r="P62" i="1"/>
  <c r="Q62" i="1"/>
  <c r="R62" i="1"/>
  <c r="J63" i="1"/>
  <c r="P63" i="1"/>
  <c r="Q63" i="1"/>
  <c r="R63" i="1"/>
  <c r="J64" i="1"/>
  <c r="P64" i="1"/>
  <c r="Q64" i="1"/>
  <c r="R64" i="1"/>
  <c r="J65" i="1"/>
  <c r="P65" i="1"/>
  <c r="Q65" i="1"/>
  <c r="R65" i="1"/>
  <c r="J66" i="1"/>
  <c r="P66" i="1"/>
  <c r="Q66" i="1"/>
  <c r="R66" i="1"/>
  <c r="J67" i="1"/>
  <c r="P67" i="1"/>
  <c r="Q67" i="1"/>
  <c r="R67" i="1"/>
  <c r="J68" i="1"/>
  <c r="P68" i="1"/>
  <c r="Q68" i="1"/>
  <c r="R68" i="1"/>
  <c r="J69" i="1"/>
  <c r="P69" i="1"/>
  <c r="Q69" i="1"/>
  <c r="R69" i="1"/>
  <c r="J70" i="1"/>
  <c r="P70" i="1"/>
  <c r="Q70" i="1"/>
  <c r="R70" i="1"/>
  <c r="J71" i="1"/>
  <c r="P71" i="1"/>
  <c r="Q71" i="1"/>
  <c r="R71" i="1"/>
  <c r="J72" i="1"/>
  <c r="P72" i="1"/>
  <c r="Q72" i="1"/>
  <c r="R72" i="1"/>
  <c r="J73" i="1"/>
  <c r="P73" i="1"/>
  <c r="Q73" i="1"/>
  <c r="R73" i="1"/>
  <c r="J74" i="1"/>
  <c r="P74" i="1"/>
  <c r="Q74" i="1"/>
  <c r="R74" i="1"/>
  <c r="J75" i="1"/>
  <c r="P75" i="1"/>
  <c r="Q75" i="1"/>
  <c r="R75" i="1"/>
  <c r="J76" i="1"/>
  <c r="P76" i="1"/>
  <c r="Q76" i="1"/>
  <c r="R76" i="1"/>
  <c r="J77" i="1"/>
  <c r="P77" i="1"/>
  <c r="Q77" i="1"/>
  <c r="R77" i="1"/>
  <c r="J78" i="1"/>
  <c r="P78" i="1"/>
  <c r="Q78" i="1"/>
  <c r="R78" i="1"/>
  <c r="J79" i="1"/>
  <c r="P79" i="1"/>
  <c r="Q79" i="1"/>
  <c r="R79" i="1"/>
  <c r="J80" i="1"/>
  <c r="P80" i="1"/>
  <c r="Q80" i="1"/>
  <c r="R80" i="1"/>
  <c r="J81" i="1"/>
  <c r="P81" i="1"/>
  <c r="Q81" i="1"/>
  <c r="R81" i="1"/>
  <c r="J82" i="1"/>
  <c r="P82" i="1"/>
  <c r="Q82" i="1"/>
  <c r="R82" i="1"/>
  <c r="J83" i="1"/>
  <c r="P83" i="1"/>
  <c r="Q83" i="1"/>
  <c r="R83" i="1"/>
  <c r="J84" i="1"/>
  <c r="P84" i="1"/>
  <c r="Q84" i="1"/>
  <c r="R84" i="1"/>
  <c r="J85" i="1"/>
  <c r="P85" i="1"/>
  <c r="Q85" i="1"/>
  <c r="R85" i="1"/>
  <c r="J86" i="1"/>
  <c r="P86" i="1"/>
  <c r="Q86" i="1"/>
  <c r="R86" i="1"/>
  <c r="J87" i="1"/>
  <c r="P87" i="1"/>
  <c r="Q87" i="1"/>
  <c r="R87" i="1"/>
  <c r="J88" i="1"/>
  <c r="P88" i="1"/>
  <c r="Q88" i="1"/>
  <c r="R88" i="1"/>
  <c r="J89" i="1"/>
  <c r="P89" i="1"/>
  <c r="Q89" i="1"/>
  <c r="R89" i="1"/>
  <c r="J90" i="1"/>
  <c r="P90" i="1"/>
  <c r="Q90" i="1"/>
  <c r="R90" i="1"/>
  <c r="J91" i="1"/>
  <c r="P91" i="1"/>
  <c r="Q91" i="1"/>
  <c r="R91" i="1"/>
  <c r="J92" i="1"/>
  <c r="P92" i="1"/>
  <c r="Q92" i="1"/>
  <c r="R92" i="1"/>
  <c r="J93" i="1"/>
  <c r="P93" i="1"/>
  <c r="Q93" i="1"/>
  <c r="R93" i="1"/>
  <c r="J94" i="1"/>
  <c r="P94" i="1"/>
  <c r="Q94" i="1"/>
  <c r="R94" i="1"/>
  <c r="J95" i="1"/>
  <c r="P95" i="1"/>
  <c r="Q95" i="1"/>
  <c r="R95" i="1"/>
  <c r="J96" i="1"/>
  <c r="P96" i="1"/>
  <c r="Q96" i="1"/>
  <c r="R96" i="1"/>
  <c r="J97" i="1"/>
  <c r="P97" i="1"/>
  <c r="Q97" i="1"/>
  <c r="R97" i="1"/>
  <c r="J98" i="1"/>
  <c r="P98" i="1"/>
  <c r="Q98" i="1"/>
  <c r="R98" i="1"/>
  <c r="J99" i="1"/>
  <c r="P99" i="1"/>
  <c r="Q99" i="1"/>
  <c r="R99" i="1"/>
  <c r="J100" i="1"/>
  <c r="P100" i="1"/>
  <c r="Q100" i="1"/>
  <c r="R100" i="1"/>
  <c r="J101" i="1"/>
  <c r="P101" i="1"/>
  <c r="Q101" i="1"/>
  <c r="R101" i="1"/>
  <c r="J102" i="1"/>
  <c r="P102" i="1"/>
  <c r="Q102" i="1"/>
  <c r="R102" i="1"/>
  <c r="J103" i="1"/>
  <c r="P103" i="1"/>
  <c r="Q103" i="1"/>
  <c r="R103" i="1"/>
  <c r="J104" i="1"/>
  <c r="P104" i="1"/>
  <c r="Q104" i="1"/>
  <c r="R104" i="1"/>
  <c r="J105" i="1"/>
  <c r="P105" i="1"/>
  <c r="Q105" i="1"/>
  <c r="R105" i="1"/>
  <c r="J106" i="1"/>
  <c r="P106" i="1"/>
  <c r="Q106" i="1"/>
  <c r="R106" i="1"/>
  <c r="J107" i="1"/>
  <c r="P107" i="1"/>
  <c r="Q107" i="1"/>
  <c r="R107" i="1"/>
  <c r="J108" i="1"/>
  <c r="P108" i="1"/>
  <c r="Q108" i="1"/>
  <c r="R108" i="1"/>
  <c r="J109" i="1"/>
  <c r="P109" i="1"/>
  <c r="Q109" i="1"/>
  <c r="R109" i="1"/>
  <c r="J110" i="1"/>
  <c r="P110" i="1"/>
  <c r="Q110" i="1"/>
  <c r="R110" i="1"/>
  <c r="J111" i="1"/>
  <c r="P111" i="1"/>
  <c r="Q111" i="1"/>
  <c r="R111" i="1"/>
  <c r="J112" i="1"/>
  <c r="P112" i="1"/>
  <c r="Q112" i="1"/>
  <c r="R112" i="1"/>
  <c r="J113" i="1"/>
  <c r="P113" i="1"/>
  <c r="Q113" i="1"/>
  <c r="R113" i="1"/>
  <c r="J114" i="1"/>
  <c r="P114" i="1"/>
  <c r="Q114" i="1"/>
  <c r="R114" i="1"/>
  <c r="J115" i="1"/>
  <c r="P115" i="1"/>
  <c r="Q115" i="1"/>
  <c r="R115" i="1"/>
  <c r="J116" i="1"/>
  <c r="P116" i="1"/>
  <c r="Q116" i="1"/>
  <c r="R116" i="1"/>
  <c r="J117" i="1"/>
  <c r="P117" i="1"/>
  <c r="Q117" i="1"/>
  <c r="R117" i="1"/>
  <c r="J118" i="1"/>
  <c r="P118" i="1"/>
  <c r="Q118" i="1"/>
  <c r="R118" i="1"/>
  <c r="J119" i="1"/>
  <c r="P119" i="1"/>
  <c r="Q119" i="1"/>
  <c r="R119" i="1"/>
  <c r="J120" i="1"/>
  <c r="P120" i="1"/>
  <c r="Q120" i="1"/>
  <c r="R120" i="1"/>
  <c r="J121" i="1"/>
  <c r="P121" i="1"/>
  <c r="Q121" i="1"/>
  <c r="R121" i="1"/>
  <c r="J122" i="1"/>
  <c r="P122" i="1"/>
  <c r="Q122" i="1"/>
  <c r="R122" i="1"/>
  <c r="J123" i="1"/>
  <c r="P123" i="1"/>
  <c r="Q123" i="1"/>
  <c r="R123" i="1"/>
  <c r="J124" i="1"/>
  <c r="P124" i="1"/>
  <c r="Q124" i="1"/>
  <c r="R124" i="1"/>
  <c r="J125" i="1"/>
  <c r="P125" i="1"/>
  <c r="Q125" i="1"/>
  <c r="R125" i="1"/>
  <c r="J126" i="1"/>
  <c r="P126" i="1"/>
  <c r="Q126" i="1"/>
  <c r="R126" i="1"/>
  <c r="J127" i="1"/>
  <c r="P127" i="1"/>
  <c r="Q127" i="1"/>
  <c r="R127" i="1"/>
  <c r="J128" i="1"/>
  <c r="P128" i="1"/>
  <c r="Q128" i="1"/>
  <c r="R128" i="1"/>
  <c r="J129" i="1"/>
  <c r="P129" i="1"/>
  <c r="Q129" i="1"/>
  <c r="R129" i="1"/>
  <c r="J130" i="1"/>
  <c r="P130" i="1"/>
  <c r="Q130" i="1"/>
  <c r="R130" i="1"/>
  <c r="J131" i="1"/>
  <c r="P131" i="1"/>
  <c r="Q131" i="1"/>
  <c r="R131" i="1"/>
  <c r="J132" i="1"/>
  <c r="P132" i="1"/>
  <c r="Q132" i="1"/>
  <c r="R132" i="1"/>
  <c r="J133" i="1"/>
  <c r="P133" i="1"/>
  <c r="Q133" i="1"/>
  <c r="R133" i="1"/>
  <c r="J134" i="1"/>
  <c r="P134" i="1"/>
  <c r="Q134" i="1"/>
  <c r="R134" i="1"/>
  <c r="J135" i="1"/>
  <c r="P135" i="1"/>
  <c r="Q135" i="1"/>
  <c r="R135" i="1"/>
  <c r="J136" i="1"/>
  <c r="P136" i="1"/>
  <c r="Q136" i="1"/>
  <c r="R136" i="1"/>
  <c r="J137" i="1"/>
  <c r="P137" i="1"/>
  <c r="Q137" i="1"/>
  <c r="R137" i="1"/>
  <c r="J138" i="1"/>
  <c r="P138" i="1"/>
  <c r="Q138" i="1"/>
  <c r="R138" i="1"/>
  <c r="J139" i="1"/>
  <c r="P139" i="1"/>
  <c r="Q139" i="1"/>
  <c r="R139" i="1"/>
  <c r="J140" i="1"/>
  <c r="P140" i="1"/>
  <c r="Q140" i="1"/>
  <c r="R140" i="1"/>
  <c r="J141" i="1"/>
  <c r="P141" i="1"/>
  <c r="Q141" i="1"/>
  <c r="R141" i="1"/>
  <c r="J142" i="1"/>
  <c r="P142" i="1"/>
  <c r="Q142" i="1"/>
  <c r="R142" i="1"/>
  <c r="J143" i="1"/>
  <c r="P143" i="1"/>
  <c r="Q143" i="1"/>
  <c r="R143" i="1"/>
  <c r="J144" i="1"/>
  <c r="P144" i="1"/>
  <c r="Q144" i="1"/>
  <c r="R144" i="1"/>
  <c r="J145" i="1"/>
  <c r="P145" i="1"/>
  <c r="Q145" i="1"/>
  <c r="R145" i="1"/>
  <c r="J146" i="1"/>
  <c r="P146" i="1"/>
  <c r="Q146" i="1"/>
  <c r="R146" i="1"/>
  <c r="J147" i="1"/>
  <c r="P147" i="1"/>
  <c r="Q147" i="1"/>
  <c r="R147" i="1"/>
  <c r="J148" i="1"/>
  <c r="P148" i="1"/>
  <c r="Q148" i="1"/>
  <c r="R148" i="1"/>
  <c r="J149" i="1"/>
  <c r="P149" i="1"/>
  <c r="Q149" i="1"/>
  <c r="R149" i="1"/>
  <c r="J150" i="1"/>
  <c r="P150" i="1"/>
  <c r="Q150" i="1"/>
  <c r="R150" i="1"/>
  <c r="J151" i="1"/>
  <c r="P151" i="1"/>
  <c r="Q151" i="1"/>
  <c r="R151" i="1"/>
  <c r="J152" i="1"/>
  <c r="P152" i="1"/>
  <c r="Q152" i="1"/>
  <c r="R152" i="1"/>
  <c r="J153" i="1"/>
  <c r="P153" i="1"/>
  <c r="Q153" i="1"/>
  <c r="R153" i="1"/>
  <c r="J154" i="1"/>
  <c r="P154" i="1"/>
  <c r="Q154" i="1"/>
  <c r="R154" i="1"/>
  <c r="J155" i="1"/>
  <c r="P155" i="1"/>
  <c r="Q155" i="1"/>
  <c r="R155" i="1"/>
  <c r="J156" i="1"/>
  <c r="P156" i="1"/>
  <c r="Q156" i="1"/>
  <c r="R156" i="1"/>
  <c r="J157" i="1"/>
  <c r="P157" i="1"/>
  <c r="Q157" i="1"/>
  <c r="R157" i="1"/>
  <c r="J158" i="1"/>
  <c r="P158" i="1"/>
  <c r="Q158" i="1"/>
  <c r="R158" i="1"/>
  <c r="J159" i="1"/>
  <c r="P159" i="1"/>
  <c r="Q159" i="1"/>
  <c r="R159" i="1"/>
  <c r="J160" i="1"/>
  <c r="P160" i="1"/>
  <c r="Q160" i="1"/>
  <c r="R160" i="1"/>
  <c r="J161" i="1"/>
  <c r="P161" i="1"/>
  <c r="Q161" i="1"/>
  <c r="R161" i="1"/>
  <c r="J162" i="1"/>
  <c r="P162" i="1"/>
  <c r="Q162" i="1"/>
  <c r="R162" i="1"/>
  <c r="J163" i="1"/>
  <c r="P163" i="1"/>
  <c r="Q163" i="1"/>
  <c r="R163" i="1"/>
  <c r="J164" i="1"/>
  <c r="P164" i="1"/>
  <c r="Q164" i="1"/>
  <c r="R164" i="1"/>
  <c r="J165" i="1"/>
  <c r="P165" i="1"/>
  <c r="Q165" i="1"/>
  <c r="R165" i="1"/>
  <c r="J166" i="1"/>
  <c r="P166" i="1"/>
  <c r="Q166" i="1"/>
  <c r="R166" i="1"/>
  <c r="J167" i="1"/>
  <c r="P167" i="1"/>
  <c r="Q167" i="1"/>
  <c r="R167" i="1"/>
  <c r="J168" i="1"/>
  <c r="P168" i="1"/>
  <c r="Q168" i="1"/>
  <c r="R168" i="1"/>
  <c r="J169" i="1"/>
  <c r="P169" i="1"/>
  <c r="Q169" i="1"/>
  <c r="R169" i="1"/>
  <c r="J170" i="1"/>
  <c r="P170" i="1"/>
  <c r="Q170" i="1"/>
  <c r="R170" i="1"/>
  <c r="J171" i="1"/>
  <c r="P171" i="1"/>
  <c r="Q171" i="1"/>
  <c r="R171" i="1"/>
  <c r="J172" i="1"/>
  <c r="P172" i="1"/>
  <c r="Q172" i="1"/>
  <c r="R172" i="1"/>
  <c r="J173" i="1"/>
  <c r="P173" i="1"/>
  <c r="Q173" i="1"/>
  <c r="R173" i="1"/>
  <c r="J174" i="1"/>
  <c r="P174" i="1"/>
  <c r="Q174" i="1"/>
  <c r="R174" i="1"/>
  <c r="J175" i="1"/>
  <c r="P175" i="1"/>
  <c r="Q175" i="1"/>
  <c r="R175" i="1"/>
  <c r="J176" i="1"/>
  <c r="P176" i="1"/>
  <c r="Q176" i="1"/>
  <c r="R176" i="1"/>
  <c r="J177" i="1"/>
  <c r="P177" i="1"/>
  <c r="Q177" i="1"/>
  <c r="R177" i="1"/>
  <c r="J178" i="1"/>
  <c r="P178" i="1"/>
  <c r="Q178" i="1"/>
  <c r="R178" i="1"/>
  <c r="J179" i="1"/>
  <c r="P179" i="1"/>
  <c r="Q179" i="1"/>
  <c r="R179" i="1"/>
  <c r="J180" i="1"/>
  <c r="P180" i="1"/>
  <c r="Q180" i="1"/>
  <c r="R180" i="1"/>
  <c r="J181" i="1"/>
  <c r="P181" i="1"/>
  <c r="Q181" i="1"/>
  <c r="R181" i="1"/>
  <c r="J182" i="1"/>
  <c r="P182" i="1"/>
  <c r="Q182" i="1"/>
  <c r="R182" i="1"/>
  <c r="J183" i="1"/>
  <c r="P183" i="1"/>
  <c r="Q183" i="1"/>
  <c r="R183" i="1"/>
  <c r="J184" i="1"/>
  <c r="P184" i="1"/>
  <c r="Q184" i="1"/>
  <c r="R184" i="1"/>
  <c r="J185" i="1"/>
  <c r="P185" i="1"/>
  <c r="Q185" i="1"/>
  <c r="R185" i="1"/>
  <c r="J186" i="1"/>
  <c r="P186" i="1"/>
  <c r="Q186" i="1"/>
  <c r="R186" i="1"/>
  <c r="J187" i="1"/>
  <c r="P187" i="1"/>
  <c r="Q187" i="1"/>
  <c r="R187" i="1"/>
  <c r="J188" i="1"/>
  <c r="P188" i="1"/>
  <c r="Q188" i="1"/>
  <c r="R188" i="1"/>
  <c r="J189" i="1"/>
  <c r="P189" i="1"/>
  <c r="Q189" i="1"/>
  <c r="R189" i="1"/>
  <c r="J190" i="1"/>
  <c r="P190" i="1"/>
  <c r="Q190" i="1"/>
  <c r="R190" i="1"/>
  <c r="J191" i="1"/>
  <c r="P191" i="1"/>
  <c r="Q191" i="1"/>
  <c r="R191" i="1"/>
  <c r="J192" i="1"/>
  <c r="P192" i="1"/>
  <c r="Q192" i="1"/>
  <c r="R192" i="1"/>
  <c r="J193" i="1"/>
  <c r="P193" i="1"/>
  <c r="Q193" i="1"/>
  <c r="R193" i="1"/>
  <c r="J194" i="1"/>
  <c r="P194" i="1"/>
  <c r="Q194" i="1"/>
  <c r="R194" i="1"/>
  <c r="J195" i="1"/>
  <c r="P195" i="1"/>
  <c r="Q195" i="1"/>
  <c r="R195" i="1"/>
  <c r="J196" i="1"/>
  <c r="P196" i="1"/>
  <c r="Q196" i="1"/>
  <c r="R196" i="1"/>
  <c r="J197" i="1"/>
  <c r="P197" i="1"/>
  <c r="Q197" i="1"/>
  <c r="R197" i="1"/>
  <c r="J198" i="1"/>
  <c r="P198" i="1"/>
  <c r="Q198" i="1"/>
  <c r="R198" i="1"/>
  <c r="J199" i="1"/>
  <c r="P199" i="1"/>
  <c r="Q199" i="1"/>
  <c r="R199" i="1"/>
  <c r="J200" i="1"/>
  <c r="P200" i="1"/>
  <c r="Q200" i="1"/>
  <c r="R200" i="1"/>
  <c r="J201" i="1"/>
  <c r="P201" i="1"/>
  <c r="Q201" i="1"/>
  <c r="R201" i="1"/>
  <c r="J202" i="1"/>
  <c r="P202" i="1"/>
  <c r="Q202" i="1"/>
  <c r="R202" i="1"/>
  <c r="J203" i="1"/>
  <c r="P203" i="1"/>
  <c r="Q203" i="1"/>
  <c r="R203" i="1"/>
  <c r="J204" i="1"/>
  <c r="P204" i="1"/>
  <c r="Q204" i="1"/>
  <c r="R204" i="1"/>
  <c r="J205" i="1"/>
  <c r="P205" i="1"/>
  <c r="Q205" i="1"/>
  <c r="R205" i="1"/>
  <c r="J206" i="1"/>
  <c r="P206" i="1"/>
  <c r="Q206" i="1"/>
  <c r="R206" i="1"/>
  <c r="J207" i="1"/>
  <c r="P207" i="1"/>
  <c r="Q207" i="1"/>
  <c r="R207" i="1"/>
  <c r="J208" i="1"/>
  <c r="P208" i="1"/>
  <c r="Q208" i="1"/>
  <c r="R208" i="1"/>
  <c r="J209" i="1"/>
  <c r="P209" i="1"/>
  <c r="Q209" i="1"/>
  <c r="R209" i="1"/>
  <c r="J210" i="1"/>
  <c r="P210" i="1"/>
  <c r="Q210" i="1"/>
  <c r="R210" i="1"/>
  <c r="J211" i="1"/>
  <c r="P211" i="1"/>
  <c r="Q211" i="1"/>
  <c r="R211" i="1"/>
  <c r="J212" i="1"/>
  <c r="P212" i="1"/>
  <c r="Q212" i="1"/>
  <c r="R212" i="1"/>
  <c r="J213" i="1"/>
  <c r="P213" i="1"/>
  <c r="Q213" i="1"/>
  <c r="R213" i="1"/>
  <c r="J214" i="1"/>
  <c r="P214" i="1"/>
  <c r="Q214" i="1"/>
  <c r="R214" i="1"/>
  <c r="J215" i="1"/>
  <c r="P215" i="1"/>
  <c r="Q215" i="1"/>
  <c r="R215" i="1"/>
  <c r="J216" i="1"/>
  <c r="P216" i="1"/>
  <c r="Q216" i="1"/>
  <c r="R216" i="1"/>
  <c r="J217" i="1"/>
  <c r="P217" i="1"/>
  <c r="Q217" i="1"/>
  <c r="R217" i="1"/>
  <c r="J218" i="1"/>
  <c r="P218" i="1"/>
  <c r="Q218" i="1"/>
  <c r="R218" i="1"/>
  <c r="J219" i="1"/>
  <c r="P219" i="1"/>
  <c r="Q219" i="1"/>
  <c r="R219" i="1"/>
  <c r="J220" i="1"/>
  <c r="P220" i="1"/>
  <c r="Q220" i="1"/>
  <c r="R220" i="1"/>
  <c r="J221" i="1"/>
  <c r="P221" i="1"/>
  <c r="Q221" i="1"/>
  <c r="R221" i="1"/>
  <c r="J222" i="1"/>
  <c r="P222" i="1"/>
  <c r="Q222" i="1"/>
  <c r="R222" i="1"/>
  <c r="J223" i="1"/>
  <c r="P223" i="1"/>
  <c r="Q223" i="1"/>
  <c r="R223" i="1"/>
  <c r="J224" i="1"/>
  <c r="P224" i="1"/>
  <c r="Q224" i="1"/>
  <c r="R224" i="1"/>
  <c r="J225" i="1"/>
  <c r="P225" i="1"/>
  <c r="Q225" i="1"/>
  <c r="R225" i="1"/>
  <c r="R2" i="1"/>
  <c r="Q2" i="1"/>
  <c r="P2" i="1"/>
  <c r="J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" i="1"/>
</calcChain>
</file>

<file path=xl/sharedStrings.xml><?xml version="1.0" encoding="utf-8"?>
<sst xmlns="http://schemas.openxmlformats.org/spreadsheetml/2006/main" count="6079" uniqueCount="1937">
  <si>
    <t>2018 평창 동계올림픽대회 및 동계패럴림픽대회 기념관</t>
  </si>
  <si>
    <t>365세이프타운</t>
  </si>
  <si>
    <t>BTS버스정류장</t>
  </si>
  <si>
    <t>DMZ박물관</t>
  </si>
  <si>
    <t>DMZ생태평화공원</t>
  </si>
  <si>
    <t>가령폭포</t>
  </si>
  <si>
    <t>가리산레포츠파크</t>
  </si>
  <si>
    <t>강릉선교장</t>
  </si>
  <si>
    <t>강릉솔향수목원</t>
  </si>
  <si>
    <t>강릉송정해변</t>
  </si>
  <si>
    <t>강릉안반데기관광농원</t>
  </si>
  <si>
    <t>강릉월화거리</t>
  </si>
  <si>
    <t>강릉중앙시장</t>
  </si>
  <si>
    <t>강릉카페거리</t>
  </si>
  <si>
    <t>강릉해중공원</t>
  </si>
  <si>
    <t>강원감영</t>
  </si>
  <si>
    <t>강원도립화목원</t>
  </si>
  <si>
    <t>강원종합박물관</t>
  </si>
  <si>
    <t>강촌레일파크 경강 레일바이크</t>
  </si>
  <si>
    <t>강촌레일파크 김유정레일바이크</t>
  </si>
  <si>
    <t>건봉사</t>
  </si>
  <si>
    <t>경포해변 중앙광장</t>
  </si>
  <si>
    <t>경포해수욕장</t>
  </si>
  <si>
    <t>계방산 오토캠핑장</t>
  </si>
  <si>
    <t>고생대자연사박물관</t>
  </si>
  <si>
    <t>고석정</t>
  </si>
  <si>
    <t>고성 서낭바위</t>
  </si>
  <si>
    <t>고성 하늬라벤더팜</t>
  </si>
  <si>
    <t>고성통일전망타워</t>
  </si>
  <si>
    <t>곰배령</t>
  </si>
  <si>
    <t>구곡폭포</t>
  </si>
  <si>
    <t>구문소</t>
  </si>
  <si>
    <t>국립가리왕산자연휴양림</t>
  </si>
  <si>
    <t>국립강원전문과학관</t>
  </si>
  <si>
    <t>국립미천골자연휴양림</t>
  </si>
  <si>
    <t>국립백운산자연휴양림</t>
  </si>
  <si>
    <t>국립춘천박물관</t>
  </si>
  <si>
    <t>국립춘천숲체원</t>
  </si>
  <si>
    <t>국립횡성숲체원</t>
  </si>
  <si>
    <t>국토정중앙천문대</t>
  </si>
  <si>
    <t>금강산 화암사</t>
  </si>
  <si>
    <t>김삿갓문학관</t>
  </si>
  <si>
    <t>김삿갓유적지</t>
  </si>
  <si>
    <t>김유정문학촌</t>
  </si>
  <si>
    <t>김일성 별장</t>
  </si>
  <si>
    <t>나전역 카페</t>
  </si>
  <si>
    <t>낙산사 홍련암</t>
  </si>
  <si>
    <t>남근조각공원</t>
  </si>
  <si>
    <t>남애항</t>
  </si>
  <si>
    <t>남이섬</t>
  </si>
  <si>
    <t>논골담길</t>
  </si>
  <si>
    <t>능파대</t>
  </si>
  <si>
    <t>대관령 양떼목장</t>
  </si>
  <si>
    <t>대관령 하늘목장</t>
  </si>
  <si>
    <t>대관령자연휴양림</t>
  </si>
  <si>
    <t>대진해변</t>
  </si>
  <si>
    <t>덕봉산 해안생태탐방로</t>
  </si>
  <si>
    <t>도째비골스카이밸리</t>
  </si>
  <si>
    <t>동강래프팅</t>
  </si>
  <si>
    <t>동강전망자연휴양림</t>
  </si>
  <si>
    <t>동서강정원 연당원</t>
  </si>
  <si>
    <t>동해무릉건강숲</t>
  </si>
  <si>
    <t>동화마을수목원</t>
  </si>
  <si>
    <t>라디오스타박물관</t>
  </si>
  <si>
    <t>로미지안 가든</t>
  </si>
  <si>
    <t>망상오토캠핑리조트</t>
  </si>
  <si>
    <t>망상해변</t>
  </si>
  <si>
    <t>매봉산 바람의 언덕</t>
  </si>
  <si>
    <t>무릉계곡힐링캠프장</t>
  </si>
  <si>
    <t>무이예술관</t>
  </si>
  <si>
    <t>묵호등대</t>
  </si>
  <si>
    <t>문치재전망대</t>
  </si>
  <si>
    <t>뮤지엄산</t>
  </si>
  <si>
    <t>미로예술 원주중앙시장</t>
  </si>
  <si>
    <t>민둥산</t>
  </si>
  <si>
    <t>박경리 문학공원</t>
  </si>
  <si>
    <t>박수근 미술관</t>
  </si>
  <si>
    <t>박인환문학관</t>
  </si>
  <si>
    <t>반계리 은행나무</t>
  </si>
  <si>
    <t>반곡역 폐역</t>
  </si>
  <si>
    <t>방태산자연휴양림</t>
  </si>
  <si>
    <t>백담사</t>
  </si>
  <si>
    <t>백섬해상전망대</t>
  </si>
  <si>
    <t>백암산케이블카</t>
  </si>
  <si>
    <t>별마로천문대</t>
  </si>
  <si>
    <t>병방치 스카이워크</t>
  </si>
  <si>
    <t>병지방오토캠핑장</t>
  </si>
  <si>
    <t>봉수대해변</t>
  </si>
  <si>
    <t>봉평전통시장</t>
  </si>
  <si>
    <t>산천어파크골프장</t>
  </si>
  <si>
    <t>삼봉자연휴양림</t>
  </si>
  <si>
    <t>삼부연폭포</t>
  </si>
  <si>
    <t>삼양라운드힐</t>
  </si>
  <si>
    <t>삼척장미공원</t>
  </si>
  <si>
    <t>삼척항</t>
  </si>
  <si>
    <t>삼척해변</t>
  </si>
  <si>
    <t>삼척해상케이블카 용화역</t>
  </si>
  <si>
    <t>삼척해상케이블카 장호역</t>
  </si>
  <si>
    <t>삼탄아트마인</t>
  </si>
  <si>
    <t>서피비치</t>
  </si>
  <si>
    <t>석봉도자기미술관</t>
  </si>
  <si>
    <t>선돌</t>
  </si>
  <si>
    <t>설악산</t>
  </si>
  <si>
    <t>설악산 자생식물원</t>
  </si>
  <si>
    <t>설악해맞이공원</t>
  </si>
  <si>
    <t>섬강 자작나무숲길</t>
  </si>
  <si>
    <t>소금강 전망대</t>
  </si>
  <si>
    <t>소양강댐팔각정전망대</t>
  </si>
  <si>
    <t>소이산 전망대</t>
  </si>
  <si>
    <t>소이산모노레일 철원역</t>
  </si>
  <si>
    <t>속초관광수산시장</t>
  </si>
  <si>
    <t>속초등대전망대</t>
  </si>
  <si>
    <t>속초해수욕장</t>
  </si>
  <si>
    <t>송이밸리자연휴양림</t>
  </si>
  <si>
    <t>송지호 밀리터리체험장</t>
  </si>
  <si>
    <t>송지호관망타워</t>
  </si>
  <si>
    <t>수로부인헌화공원</t>
  </si>
  <si>
    <t>수타사</t>
  </si>
  <si>
    <t>수타사농촌테마공원</t>
  </si>
  <si>
    <t>순담계곡</t>
  </si>
  <si>
    <t>십이선녀탕계곡</t>
  </si>
  <si>
    <t>아들바위공원</t>
  </si>
  <si>
    <t>아르떼뮤지엄 강릉</t>
  </si>
  <si>
    <t>아야진해수욕장</t>
  </si>
  <si>
    <t>안흥찐빵모락모락마을</t>
  </si>
  <si>
    <t>알파카월드</t>
  </si>
  <si>
    <t>알펜시아 스키점프센터</t>
  </si>
  <si>
    <t>양구 백자박물관</t>
  </si>
  <si>
    <t>양구 선사박물관</t>
  </si>
  <si>
    <t>양구 통일관</t>
  </si>
  <si>
    <t>양양전통시장</t>
  </si>
  <si>
    <t>얼라이브하트 속초점</t>
  </si>
  <si>
    <t>엘리시안 강촌CC</t>
  </si>
  <si>
    <t>연꽃단지</t>
  </si>
  <si>
    <t>연필뮤지엄</t>
  </si>
  <si>
    <t>영랑호</t>
  </si>
  <si>
    <t>영랑호수윗길</t>
  </si>
  <si>
    <t>영월 고씨굴</t>
  </si>
  <si>
    <t>영월관광센터</t>
  </si>
  <si>
    <t>영월장릉</t>
  </si>
  <si>
    <t>영월패러글라이딩</t>
  </si>
  <si>
    <t>오산리 선사유적박물관</t>
  </si>
  <si>
    <t>오색약수</t>
  </si>
  <si>
    <t>오색주전골</t>
  </si>
  <si>
    <t>오죽헌</t>
  </si>
  <si>
    <t>왕곡마을</t>
  </si>
  <si>
    <t>요선암 돌개구멍</t>
  </si>
  <si>
    <t>요선정</t>
  </si>
  <si>
    <t>용대자연휴양림</t>
  </si>
  <si>
    <t>용소계곡</t>
  </si>
  <si>
    <t>용소막성당</t>
  </si>
  <si>
    <t>용연동굴</t>
  </si>
  <si>
    <t>원대리자작나무숲</t>
  </si>
  <si>
    <t>월정사 전나무숲길</t>
  </si>
  <si>
    <t>웰리힐리파크</t>
  </si>
  <si>
    <t>이사부사자공원</t>
  </si>
  <si>
    <t>이효석문학관</t>
  </si>
  <si>
    <t>인구해변</t>
  </si>
  <si>
    <t>인제산촌민속박물관</t>
  </si>
  <si>
    <t>인제스피디움</t>
  </si>
  <si>
    <t>장릉</t>
  </si>
  <si>
    <t>장릉 단종역사관</t>
  </si>
  <si>
    <t>장호항</t>
  </si>
  <si>
    <t>장호항전망대</t>
  </si>
  <si>
    <t>젊은달와이파크</t>
  </si>
  <si>
    <t>정동심곡 바다부채길</t>
  </si>
  <si>
    <t>정선 레일바이크</t>
  </si>
  <si>
    <t>정선아라리촌</t>
  </si>
  <si>
    <t>정암사</t>
  </si>
  <si>
    <t>제이드가든</t>
  </si>
  <si>
    <t>조경철천문대</t>
  </si>
  <si>
    <t>죽서루</t>
  </si>
  <si>
    <t>중도물레길</t>
  </si>
  <si>
    <t>직탕폭포</t>
  </si>
  <si>
    <t>척야산문화수목원</t>
  </si>
  <si>
    <t>천곡황금박쥐동굴</t>
  </si>
  <si>
    <t>철암탄광역사촌</t>
  </si>
  <si>
    <t>철원역사문화공원</t>
  </si>
  <si>
    <t>철원한탄강 주상절리길</t>
  </si>
  <si>
    <t>철원한탄강물윗길</t>
  </si>
  <si>
    <t>철원한탄강은하수교</t>
  </si>
  <si>
    <t>청간정</t>
  </si>
  <si>
    <t>청령포</t>
  </si>
  <si>
    <t>청초호</t>
  </si>
  <si>
    <t>청태산자연휴양림</t>
  </si>
  <si>
    <t>초곡용굴촛대바위길</t>
  </si>
  <si>
    <t>추암오토캠핑장</t>
  </si>
  <si>
    <t>추암촛대바위</t>
  </si>
  <si>
    <t>춘천삼악산호수케이블카</t>
  </si>
  <si>
    <t>치악산자연휴양림</t>
  </si>
  <si>
    <t>타임캡슐공원</t>
  </si>
  <si>
    <t>태기산 전망대</t>
  </si>
  <si>
    <t>태백산국립공원</t>
  </si>
  <si>
    <t>태백석탄박물관</t>
  </si>
  <si>
    <t>파로호 꽃섬</t>
  </si>
  <si>
    <t>팔봉산관광지</t>
  </si>
  <si>
    <t>평화의댐</t>
  </si>
  <si>
    <t>풍수원성당</t>
  </si>
  <si>
    <t>피노디아 다빈치뮤지엄</t>
  </si>
  <si>
    <t>피노디아 엑스포타워</t>
  </si>
  <si>
    <t>하조대</t>
  </si>
  <si>
    <t>하조대전망대</t>
  </si>
  <si>
    <t>하추 자연휴양림</t>
  </si>
  <si>
    <t>학저수지</t>
  </si>
  <si>
    <t>한강 발원지 검룡소</t>
  </si>
  <si>
    <t>한반도섬</t>
  </si>
  <si>
    <t>한반도전기카트체험장</t>
  </si>
  <si>
    <t>한섬해변</t>
  </si>
  <si>
    <t>한지테마파크</t>
  </si>
  <si>
    <t>해신당공원</t>
  </si>
  <si>
    <t>행구수변공원</t>
  </si>
  <si>
    <t>허균허난설헌기념공원</t>
  </si>
  <si>
    <t>홍천강오토캠핑장</t>
  </si>
  <si>
    <t>홍천무궁화수목원</t>
  </si>
  <si>
    <t>홍천미술관</t>
  </si>
  <si>
    <t>홍천박물관</t>
  </si>
  <si>
    <t>홍천생명건강과학관</t>
  </si>
  <si>
    <t>홍천은행나무숲</t>
  </si>
  <si>
    <t>화암동굴</t>
  </si>
  <si>
    <t>화천 딴산유원지</t>
  </si>
  <si>
    <t>황지공원 황지연못</t>
  </si>
  <si>
    <t>횡성루지체험장</t>
  </si>
  <si>
    <t>횡성한우체험관</t>
  </si>
  <si>
    <t>효석문화마을</t>
  </si>
  <si>
    <t>휴휴암</t>
  </si>
  <si>
    <t>실내</t>
  </si>
  <si>
    <t>실외</t>
  </si>
  <si>
    <t>강원 특별자치도 관광지별 예상 이용 금액 및 운영시간 (Min ~ Max 예산표)</t>
  </si>
  <si>
    <t>총 관광지 수: 333개 | 기준: 1인당 순수 입장료/체험비 (주차비 제외) 및 대표 운영시간 정보</t>
  </si>
  <si>
    <t>관광지명</t>
  </si>
  <si>
    <t>장소명</t>
  </si>
  <si>
    <t>카테고리</t>
  </si>
  <si>
    <t>운영시간 (휴무일 포함)</t>
  </si>
  <si>
    <t>최소 금액 (Min/1인)</t>
  </si>
  <si>
    <t>최대 금액 (Max/1인)</t>
  </si>
  <si>
    <t>비고 (산출 근거)</t>
  </si>
  <si>
    <t>상세URL</t>
  </si>
  <si>
    <t>2018평창동계올림픽대회 및 동계패럴림픽대회기념관</t>
  </si>
  <si>
    <t>국공립 박물관/기념관</t>
  </si>
  <si>
    <t>09:00 - 18:00 (월요일 휴무)</t>
  </si>
  <si>
    <t>국공립 시설 무료 관람 또는 대인 기준 정가</t>
  </si>
  <si>
    <t>http://place.map.kakao.com/581024580</t>
  </si>
  <si>
    <t>테마파크/민간관광지</t>
  </si>
  <si>
    <t>대인 정상 입장료 기준 (할인혜택/통합권 따라 변동)</t>
  </si>
  <si>
    <t>http://place.map.kakao.com/25045748</t>
  </si>
  <si>
    <t>BTS 버스정류장</t>
  </si>
  <si>
    <t>자연경관/자유관광지</t>
  </si>
  <si>
    <t>상시 개방</t>
  </si>
  <si>
    <t>상시 무료 관람 (식음료 및 개인소모품비 제외)</t>
  </si>
  <si>
    <t>http://place.map.kakao.com/1310990190</t>
  </si>
  <si>
    <t>문화/전람/동굴/전망시설</t>
  </si>
  <si>
    <t>09:00 - 18:00 (입장마감 17:00, 월요일 휴무)</t>
  </si>
  <si>
    <t>대인 관람료 및 전망대/스카이워크 이용료 기준</t>
  </si>
  <si>
    <t>http://place.map.kakao.com/23794385</t>
  </si>
  <si>
    <t>철원DMZ생태평화공원</t>
  </si>
  <si>
    <t>24시간 연중무휴 (자유 방문)</t>
  </si>
  <si>
    <t>http://place.map.kakao.com/1389012423</t>
  </si>
  <si>
    <t>DMZ펀치볼둘레길</t>
  </si>
  <si>
    <t>http://place.map.kakao.com/26847659</t>
  </si>
  <si>
    <t>http://place.map.kakao.com/8121115</t>
  </si>
  <si>
    <t>http://place.map.kakao.com/26916317</t>
  </si>
  <si>
    <t>간현역 (폐역)</t>
  </si>
  <si>
    <t>http://place.map.kakao.com/8667927</t>
  </si>
  <si>
    <t>갈천약수터</t>
  </si>
  <si>
    <t>http://place.map.kakao.com/8133638</t>
  </si>
  <si>
    <t>http://place.map.kakao.com/26979861</t>
  </si>
  <si>
    <t>휴양림/수목원</t>
  </si>
  <si>
    <t>09:00 - 18:00 (하절기) / 09:00 - 17:00 (동절기)</t>
  </si>
  <si>
    <t>국공립/민간 휴양림 입장료 기준 (숙박/체험비 제외)</t>
  </si>
  <si>
    <t>http://place.map.kakao.com/25856200</t>
  </si>
  <si>
    <t>송정해변</t>
  </si>
  <si>
    <t>http://place.map.kakao.com/7960891</t>
  </si>
  <si>
    <t>http://place.map.kakao.com/937891746</t>
  </si>
  <si>
    <t>http://place.map.kakao.com/2058461010</t>
  </si>
  <si>
    <t>http://place.map.kakao.com/18525909</t>
  </si>
  <si>
    <t>http://place.map.kakao.com/14862993</t>
  </si>
  <si>
    <t>http://place.map.kakao.com/714254383</t>
  </si>
  <si>
    <t>원주 강원감영</t>
  </si>
  <si>
    <t>http://place.map.kakao.com/8171435</t>
  </si>
  <si>
    <t>강원특별자치도립화목원</t>
  </si>
  <si>
    <t>http://place.map.kakao.com/11046971</t>
  </si>
  <si>
    <t>강원도자연환경연구공원</t>
  </si>
  <si>
    <t>강원특별자치도자연환경연구공원</t>
  </si>
  <si>
    <t>http://place.map.kakao.com/13109251</t>
  </si>
  <si>
    <t>http://place.map.kakao.com/9675634</t>
  </si>
  <si>
    <t>체험/액티비티</t>
  </si>
  <si>
    <t>09:00 - 17:30 (회차별 운행)</t>
  </si>
  <si>
    <t>1인 승선/체험권 기준 (코스 및 이용 상품에 따라 변동)</t>
  </si>
  <si>
    <t>http://place.map.kakao.com/26388997</t>
  </si>
  <si>
    <t>http://place.map.kakao.com/18711877</t>
  </si>
  <si>
    <t>거례리사랑나무</t>
  </si>
  <si>
    <t>05:00 - 18:00 (일몰 시까지)</t>
  </si>
  <si>
    <t>http://place.map.kakao.com/23690312</t>
  </si>
  <si>
    <t>http://place.map.kakao.com/8171586</t>
  </si>
  <si>
    <t>http://place.map.kakao.com/910019105</t>
  </si>
  <si>
    <t>http://place.map.kakao.com/8199114</t>
  </si>
  <si>
    <t>계방산오토캠핑장</t>
  </si>
  <si>
    <t>캠핑/숙박시설</t>
  </si>
  <si>
    <t>입실 14:00 / 퇴실 11:00 (상시)</t>
  </si>
  <si>
    <t>시설 이용 고객 대상 (단순 둘러보기/입장 무료)</t>
  </si>
  <si>
    <t>http://place.map.kakao.com/12296544</t>
  </si>
  <si>
    <t>태백고생대자연사박물관</t>
  </si>
  <si>
    <t>http://place.map.kakao.com/13266763</t>
  </si>
  <si>
    <t>http://place.map.kakao.com/8176583</t>
  </si>
  <si>
    <t>서낭바위</t>
  </si>
  <si>
    <t>http://place.map.kakao.com/984257114</t>
  </si>
  <si>
    <t>하늬라벤더팜</t>
  </si>
  <si>
    <t>http://place.map.kakao.com/8127461</t>
  </si>
  <si>
    <t>10:00 - 18:00 (하절기/주말 연장운영)</t>
  </si>
  <si>
    <t>http://place.map.kakao.com/1439312170</t>
  </si>
  <si>
    <t>고이승만대통령 별장및정자</t>
  </si>
  <si>
    <t>http://place.map.kakao.com/12765222</t>
  </si>
  <si>
    <t>곡운구곡</t>
  </si>
  <si>
    <t>http://place.map.kakao.com/11641939</t>
  </si>
  <si>
    <t>http://place.map.kakao.com/11529179</t>
  </si>
  <si>
    <t>공작산생태숲</t>
  </si>
  <si>
    <t>09:00 - 18:00 (화요일/월요일 휴무)</t>
  </si>
  <si>
    <t>http://place.map.kakao.com/25049125</t>
  </si>
  <si>
    <t>http://place.map.kakao.com/8235953</t>
  </si>
  <si>
    <t>http://place.map.kakao.com/8214139</t>
  </si>
  <si>
    <t>http://place.map.kakao.com/8713811</t>
  </si>
  <si>
    <t>http://place.map.kakao.com/581564680</t>
  </si>
  <si>
    <t>http://place.map.kakao.com/7879147</t>
  </si>
  <si>
    <t>http://place.map.kakao.com/10389516</t>
  </si>
  <si>
    <t>국립속초등산학교</t>
  </si>
  <si>
    <t>http://place.map.kakao.com/25572293</t>
  </si>
  <si>
    <t>http://place.map.kakao.com/8208782</t>
  </si>
  <si>
    <t>http://place.map.kakao.com/1158129196</t>
  </si>
  <si>
    <t>http://place.map.kakao.com/24505294</t>
  </si>
  <si>
    <t>국민의숲 산림트레킹코스</t>
  </si>
  <si>
    <t>http://place.map.kakao.com/26558806</t>
  </si>
  <si>
    <t>http://place.map.kakao.com/10134258</t>
  </si>
  <si>
    <t>http://place.map.kakao.com/8696982</t>
  </si>
  <si>
    <t>난고 김삿갓문학관</t>
  </si>
  <si>
    <t>http://place.map.kakao.com/10195101</t>
  </si>
  <si>
    <t>http://place.map.kakao.com/8239112</t>
  </si>
  <si>
    <t>http://place.map.kakao.com/1641336553</t>
  </si>
  <si>
    <t>화진포의성 김일성별장</t>
  </si>
  <si>
    <t>http://place.map.kakao.com/8013497</t>
  </si>
  <si>
    <t>나전역카페</t>
  </si>
  <si>
    <t>http://place.map.kakao.com/291863218</t>
  </si>
  <si>
    <t>http://place.map.kakao.com/18059918</t>
  </si>
  <si>
    <t>해신당공원 남근조각공원</t>
  </si>
  <si>
    <t>http://place.map.kakao.com/17807543</t>
  </si>
  <si>
    <t>남대천</t>
  </si>
  <si>
    <t>http://place.map.kakao.com/8251908</t>
  </si>
  <si>
    <t>http://place.map.kakao.com/8226156</t>
  </si>
  <si>
    <t>http://place.map.kakao.com/11276521</t>
  </si>
  <si>
    <t>http://place.map.kakao.com/25042265</t>
  </si>
  <si>
    <t>http://place.map.kakao.com/24876688</t>
  </si>
  <si>
    <t>대관령양떼목장</t>
  </si>
  <si>
    <t>10:00 - 18:00 (연중무휴/입장마감 17:00)</t>
  </si>
  <si>
    <t>http://place.map.kakao.com/10260730</t>
  </si>
  <si>
    <t>http://place.map.kakao.com/1926175775</t>
  </si>
  <si>
    <t>국립대관령자연휴양림</t>
  </si>
  <si>
    <t>http://place.map.kakao.com/8302996</t>
  </si>
  <si>
    <t>대암산용늪</t>
  </si>
  <si>
    <t>http://place.map.kakao.com/7821105</t>
  </si>
  <si>
    <t>http://place.map.kakao.com/7828533</t>
  </si>
  <si>
    <t>http://place.map.kakao.com/405308632</t>
  </si>
  <si>
    <t>http://place.map.kakao.com/1437031172</t>
  </si>
  <si>
    <t>09:00 - 18:00 (사전예약/상황별 변동)</t>
  </si>
  <si>
    <t>http://place.map.kakao.com/10304718</t>
  </si>
  <si>
    <t>http://place.map.kakao.com/21426512</t>
  </si>
  <si>
    <t>동구래 마을</t>
  </si>
  <si>
    <t>동구래마을</t>
  </si>
  <si>
    <t>http://place.map.kakao.com/18848465</t>
  </si>
  <si>
    <t>http://place.map.kakao.com/1960058011</t>
  </si>
  <si>
    <t>http://place.map.kakao.com/27299636</t>
  </si>
  <si>
    <t>동해해암정</t>
  </si>
  <si>
    <t>http://place.map.kakao.com/8400497</t>
  </si>
  <si>
    <t>http://place.map.kakao.com/1099711468</t>
  </si>
  <si>
    <t>딴산산</t>
  </si>
  <si>
    <t>딴산</t>
  </si>
  <si>
    <t>http://place.map.kakao.com/27024684</t>
  </si>
  <si>
    <t>http://place.map.kakao.com/26274510</t>
  </si>
  <si>
    <t>로미지안가든</t>
  </si>
  <si>
    <t>http://place.map.kakao.com/1571203637</t>
  </si>
  <si>
    <t>리버버깅</t>
  </si>
  <si>
    <t>http://place.map.kakao.com/1908834498</t>
  </si>
  <si>
    <t>만해마을</t>
  </si>
  <si>
    <t>만해</t>
  </si>
  <si>
    <t>http://place.map.kakao.com/25227488</t>
  </si>
  <si>
    <t>http://place.map.kakao.com/816303389</t>
  </si>
  <si>
    <t>http://place.map.kakao.com/11081458</t>
  </si>
  <si>
    <t>매봉산 바람의언덕</t>
  </si>
  <si>
    <t>http://place.map.kakao.com/19125936</t>
  </si>
  <si>
    <t>매월대폭포</t>
  </si>
  <si>
    <t>매월대</t>
  </si>
  <si>
    <t>http://place.map.kakao.com/7869451</t>
  </si>
  <si>
    <t>명품하늘숲길</t>
  </si>
  <si>
    <t>http://place.map.kakao.com/990096420</t>
  </si>
  <si>
    <t>http://place.map.kakao.com/11250175</t>
  </si>
  <si>
    <t>평창무이예술관</t>
  </si>
  <si>
    <t>http://place.map.kakao.com/8574564</t>
  </si>
  <si>
    <t>묵호등대전망대</t>
  </si>
  <si>
    <t>http://place.map.kakao.com/7880709</t>
  </si>
  <si>
    <t>http://place.map.kakao.com/1294246909</t>
  </si>
  <si>
    <t>http://place.map.kakao.com/21674777</t>
  </si>
  <si>
    <t>http://place.map.kakao.com/27584256</t>
  </si>
  <si>
    <t>미약골</t>
  </si>
  <si>
    <t>http://place.map.kakao.com/10404709</t>
  </si>
  <si>
    <t>미인폭포</t>
  </si>
  <si>
    <t>http://place.map.kakao.com/7881838</t>
  </si>
  <si>
    <t>미천골자연휴양림</t>
  </si>
  <si>
    <t>http://place.map.kakao.com/7887114</t>
  </si>
  <si>
    <t>박경리문학공원</t>
  </si>
  <si>
    <t>http://place.map.kakao.com/10399968</t>
  </si>
  <si>
    <t>박수근미술관</t>
  </si>
  <si>
    <t>http://place.map.kakao.com/12463854</t>
  </si>
  <si>
    <t>http://place.map.kakao.com/18605694</t>
  </si>
  <si>
    <t>http://place.map.kakao.com/8312554</t>
  </si>
  <si>
    <t>반곡역 (폐역)</t>
  </si>
  <si>
    <t>http://place.map.kakao.com/7887560</t>
  </si>
  <si>
    <t>국립방태산자연휴양림</t>
  </si>
  <si>
    <t>http://place.map.kakao.com/8316285</t>
  </si>
  <si>
    <t>배바위카누마을</t>
  </si>
  <si>
    <t>http://place.map.kakao.com/20752352</t>
  </si>
  <si>
    <t>http://place.map.kakao.com/11065471</t>
  </si>
  <si>
    <t>http://place.map.kakao.com/1905804128</t>
  </si>
  <si>
    <t>09:00 - 18:00 (매표마감 17:00)</t>
  </si>
  <si>
    <t>http://place.map.kakao.com/1427819338</t>
  </si>
  <si>
    <t>법흥사</t>
  </si>
  <si>
    <t>http://place.map.kakao.com/26334065</t>
  </si>
  <si>
    <t>http://place.map.kakao.com/15280358</t>
  </si>
  <si>
    <t>http://place.map.kakao.com/17305177</t>
  </si>
  <si>
    <t>http://place.map.kakao.com/21054698</t>
  </si>
  <si>
    <t>http://place.map.kakao.com/11057558</t>
  </si>
  <si>
    <t>http://place.map.kakao.com/18525008</t>
  </si>
  <si>
    <t>붓이야기박물관</t>
  </si>
  <si>
    <t>http://place.map.kakao.com/1488661422</t>
  </si>
  <si>
    <t>붕어섬</t>
  </si>
  <si>
    <t>http://place.map.kakao.com/8397226</t>
  </si>
  <si>
    <t>산약초마을</t>
  </si>
  <si>
    <t>http://place.map.kakao.com/885587366</t>
  </si>
  <si>
    <t>산천어커피박물관</t>
  </si>
  <si>
    <t>http://place.map.kakao.com/27383477</t>
  </si>
  <si>
    <t>화천산천어파크골프장</t>
  </si>
  <si>
    <t>http://place.map.kakao.com/1986449214</t>
  </si>
  <si>
    <t>산타클로스 우체국 대한민국 본점</t>
  </si>
  <si>
    <t>산타클로스우체국 대한민국본점</t>
  </si>
  <si>
    <t>http://place.map.kakao.com/1400300682</t>
  </si>
  <si>
    <t>살랑교</t>
  </si>
  <si>
    <t>http://place.map.kakao.com/1116662553</t>
  </si>
  <si>
    <t>국립삼봉자연휴양림</t>
  </si>
  <si>
    <t>http://place.map.kakao.com/7926947</t>
  </si>
  <si>
    <t>http://place.map.kakao.com/26952943</t>
  </si>
  <si>
    <t>삼악산</t>
  </si>
  <si>
    <t>http://place.map.kakao.com/8391208</t>
  </si>
  <si>
    <t>http://place.map.kakao.com/8305401</t>
  </si>
  <si>
    <t>삼척그림책나라</t>
  </si>
  <si>
    <t>http://place.map.kakao.com/1596846771</t>
  </si>
  <si>
    <t>http://place.map.kakao.com/20495123</t>
  </si>
  <si>
    <t>http://place.map.kakao.com/8388351</t>
  </si>
  <si>
    <t>http://place.map.kakao.com/7935331</t>
  </si>
  <si>
    <t>http://place.map.kakao.com/1832162456</t>
  </si>
  <si>
    <t>http://place.map.kakao.com/153613586</t>
  </si>
  <si>
    <t>http://place.map.kakao.com/19881841</t>
  </si>
  <si>
    <t>상도문돌담마을</t>
  </si>
  <si>
    <t>상도문 돌담마을</t>
  </si>
  <si>
    <t>http://place.map.kakao.com/853690564</t>
  </si>
  <si>
    <t>http://place.map.kakao.com/26911134</t>
  </si>
  <si>
    <t>http://place.map.kakao.com/7951458</t>
  </si>
  <si>
    <t>http://place.map.kakao.com/27002081</t>
  </si>
  <si>
    <t>선바위 자연캠핑장</t>
  </si>
  <si>
    <t>http://place.map.kakao.com/21764909</t>
  </si>
  <si>
    <t>설악산자생식물원</t>
  </si>
  <si>
    <t>http://place.map.kakao.com/24414762</t>
  </si>
  <si>
    <t>http://place.map.kakao.com/8376588</t>
  </si>
  <si>
    <t>http://place.map.kakao.com/118414704</t>
  </si>
  <si>
    <t>http://place.map.kakao.com/1088147159</t>
  </si>
  <si>
    <t>소똥령 마을</t>
  </si>
  <si>
    <t>소똥령마을 농촌체험휴양마을</t>
  </si>
  <si>
    <t>http://place.map.kakao.com/24662303</t>
  </si>
  <si>
    <t>소양강 스카이워크</t>
  </si>
  <si>
    <t>소양강스카이워크</t>
  </si>
  <si>
    <t>http://place.map.kakao.com/1323084049</t>
  </si>
  <si>
    <t>http://place.map.kakao.com/26919839</t>
  </si>
  <si>
    <t>소양강둘레길 (3코스)</t>
  </si>
  <si>
    <t>http://place.map.kakao.com/1094955731</t>
  </si>
  <si>
    <t>소양강둘레길 내린길(2코스)</t>
  </si>
  <si>
    <t>http://place.map.kakao.com/26558408</t>
  </si>
  <si>
    <t>소양강둘레길 하늘길(1코스)</t>
  </si>
  <si>
    <t>http://place.map.kakao.com/26558407</t>
  </si>
  <si>
    <t>소이산</t>
  </si>
  <si>
    <t>http://place.map.kakao.com/27460313</t>
  </si>
  <si>
    <t>http://place.map.kakao.com/1428165417</t>
  </si>
  <si>
    <t>http://place.map.kakao.com/116342044</t>
  </si>
  <si>
    <t>http://place.map.kakao.com/12797187</t>
  </si>
  <si>
    <t>속초등대</t>
  </si>
  <si>
    <t>http://place.map.kakao.com/7952590</t>
  </si>
  <si>
    <t>속초시립박물관</t>
  </si>
  <si>
    <t>http://place.map.kakao.com/9158247</t>
  </si>
  <si>
    <t>속초청년몰</t>
  </si>
  <si>
    <t>원피규어</t>
  </si>
  <si>
    <t>http://place.map.kakao.com/280362639</t>
  </si>
  <si>
    <t>http://place.map.kakao.com/22099937</t>
  </si>
  <si>
    <t>송대소 주상절리</t>
  </si>
  <si>
    <t>송대소</t>
  </si>
  <si>
    <t>http://place.map.kakao.com/11495472</t>
  </si>
  <si>
    <t>http://place.map.kakao.com/17958942</t>
  </si>
  <si>
    <t>송지호밀리터리체험장</t>
  </si>
  <si>
    <t>http://place.map.kakao.com/1482807704</t>
  </si>
  <si>
    <t>http://place.map.kakao.com/9159196</t>
  </si>
  <si>
    <t>송천떡마을</t>
  </si>
  <si>
    <t>http://place.map.kakao.com/7993056</t>
  </si>
  <si>
    <t>http://place.map.kakao.com/23680795</t>
  </si>
  <si>
    <t>http://place.map.kakao.com/10544634</t>
  </si>
  <si>
    <t>http://place.map.kakao.com/1205240657</t>
  </si>
  <si>
    <t>http://place.map.kakao.com/7967160</t>
  </si>
  <si>
    <t>http://place.map.kakao.com/25617721</t>
  </si>
  <si>
    <t>http://place.map.kakao.com/8416134</t>
  </si>
  <si>
    <t>10:00 - 20:00 (입장마감 19:00)</t>
  </si>
  <si>
    <t>http://place.map.kakao.com/2115731103</t>
  </si>
  <si>
    <t>아리힐스 짚와이어</t>
  </si>
  <si>
    <t>http://place.map.kakao.com/18845042</t>
  </si>
  <si>
    <t>아바이마을</t>
  </si>
  <si>
    <t>http://place.map.kakao.com/11951680</t>
  </si>
  <si>
    <t>http://place.map.kakao.com/7990660</t>
  </si>
  <si>
    <t>http://place.map.kakao.com/1170610387</t>
  </si>
  <si>
    <t>10:00 - 18:00 (입장마감 16:30)</t>
  </si>
  <si>
    <t>http://place.map.kakao.com/1308332525</t>
  </si>
  <si>
    <t>http://place.map.kakao.com/17573656</t>
  </si>
  <si>
    <t>양구 근현대사박물관</t>
  </si>
  <si>
    <t>양구근현대사박물관</t>
  </si>
  <si>
    <t>http://place.map.kakao.com/7996267</t>
  </si>
  <si>
    <t>양구백자박물관</t>
  </si>
  <si>
    <t>http://place.map.kakao.com/20126918</t>
  </si>
  <si>
    <t>양구선사박물관</t>
  </si>
  <si>
    <t>http://place.map.kakao.com/11107311</t>
  </si>
  <si>
    <t>양구통일관</t>
  </si>
  <si>
    <t>http://place.map.kakao.com/10588483</t>
  </si>
  <si>
    <t>양구수목원</t>
  </si>
  <si>
    <t>http://place.map.kakao.com/1571224337</t>
  </si>
  <si>
    <t>양구인문학박물관</t>
  </si>
  <si>
    <t>http://place.map.kakao.com/22893352</t>
  </si>
  <si>
    <t>http://place.map.kakao.com/9250667</t>
  </si>
  <si>
    <t>양양포매리 백로및왜가리번식지</t>
  </si>
  <si>
    <t>http://place.map.kakao.com/7996898</t>
  </si>
  <si>
    <t>어답산</t>
  </si>
  <si>
    <t>http://place.map.kakao.com/7993554</t>
  </si>
  <si>
    <t>어답산관광지</t>
  </si>
  <si>
    <t>http://place.map.kakao.com/1908467624</t>
  </si>
  <si>
    <t>어름치 플레이스</t>
  </si>
  <si>
    <t>어름치플레이스</t>
  </si>
  <si>
    <t>http://place.map.kakao.com/1923597801</t>
  </si>
  <si>
    <t>어성전계곡</t>
  </si>
  <si>
    <t>http://place.map.kakao.com/7994743</t>
  </si>
  <si>
    <t>http://place.map.kakao.com/27351432</t>
  </si>
  <si>
    <t>http://place.map.kakao.com/25070174</t>
  </si>
  <si>
    <t>엘리시안강촌 스노우힐&amp;펀파크</t>
  </si>
  <si>
    <t>http://place.map.kakao.com/26325145</t>
  </si>
  <si>
    <t>엘리시안강촌 캠핑파크</t>
  </si>
  <si>
    <t>http://place.map.kakao.com/26900893</t>
  </si>
  <si>
    <t>여초김응현서예관</t>
  </si>
  <si>
    <t>http://place.map.kakao.com/18604195</t>
  </si>
  <si>
    <t>http://place.map.kakao.com/1907965556</t>
  </si>
  <si>
    <t>http://place.map.kakao.com/73062215</t>
  </si>
  <si>
    <t>http://place.map.kakao.com/8008145</t>
  </si>
  <si>
    <t>http://place.map.kakao.com/1632792413</t>
  </si>
  <si>
    <t>http://place.map.kakao.com/13622072</t>
  </si>
  <si>
    <t>http://place.map.kakao.com/401241687</t>
  </si>
  <si>
    <t>http://place.map.kakao.com/8540103</t>
  </si>
  <si>
    <t>http://place.map.kakao.com/1782067734</t>
  </si>
  <si>
    <t>http://place.map.kakao.com/8014870</t>
  </si>
  <si>
    <t>http://place.map.kakao.com/25035251</t>
  </si>
  <si>
    <t>주전골</t>
  </si>
  <si>
    <t>http://place.map.kakao.com/8090013</t>
  </si>
  <si>
    <t>http://place.map.kakao.com/25323416</t>
  </si>
  <si>
    <t>오호 VR해양모험관</t>
  </si>
  <si>
    <t>http://place.map.kakao.com/289351382</t>
  </si>
  <si>
    <t>고성왕곡마을</t>
  </si>
  <si>
    <t>http://place.map.kakao.com/8012189</t>
  </si>
  <si>
    <t>외옹치바다향기로</t>
  </si>
  <si>
    <t>외옹치바다향기로 (휴업중)</t>
  </si>
  <si>
    <t>http://place.map.kakao.com/1970947390</t>
  </si>
  <si>
    <t>http://place.map.kakao.com/1822049240</t>
  </si>
  <si>
    <t>http://place.map.kakao.com/8014454</t>
  </si>
  <si>
    <t>국립용대자연휴양림</t>
  </si>
  <si>
    <t>http://place.map.kakao.com/25618250</t>
  </si>
  <si>
    <t>http://place.map.kakao.com/8022938</t>
  </si>
  <si>
    <t>천주교 용소막성당</t>
  </si>
  <si>
    <t>http://place.map.kakao.com/11188641</t>
  </si>
  <si>
    <t>http://place.map.kakao.com/8466942</t>
  </si>
  <si>
    <t>용화산</t>
  </si>
  <si>
    <t>http://place.map.kakao.com/15167992</t>
  </si>
  <si>
    <t>http://place.map.kakao.com/27301455</t>
  </si>
  <si>
    <t>월남 파병용사만남의장</t>
  </si>
  <si>
    <t>http://place.map.kakao.com/10380118</t>
  </si>
  <si>
    <t>월정사 성보박물관</t>
  </si>
  <si>
    <t>http://place.map.kakao.com/11177742</t>
  </si>
  <si>
    <t>오대산월정사 전나무숲길</t>
  </si>
  <si>
    <t>http://place.map.kakao.com/24759651</t>
  </si>
  <si>
    <t>http://place.map.kakao.com/18661839</t>
  </si>
  <si>
    <t>유현문화관광단지 유물전시관</t>
  </si>
  <si>
    <t>http://place.map.kakao.com/25972186</t>
  </si>
  <si>
    <t>이기붕 별장</t>
  </si>
  <si>
    <t>역사안보전시관 이기붕별장</t>
  </si>
  <si>
    <t>http://place.map.kakao.com/10657556</t>
  </si>
  <si>
    <t>http://place.map.kakao.com/24051055</t>
  </si>
  <si>
    <t>http://place.map.kakao.com/9402122</t>
  </si>
  <si>
    <t>http://place.map.kakao.com/8052398</t>
  </si>
  <si>
    <t>인제나르샤파크</t>
  </si>
  <si>
    <t>http://place.map.kakao.com/25626933</t>
  </si>
  <si>
    <t>인제내설악미술관</t>
  </si>
  <si>
    <t>공립인제내설악미술관</t>
  </si>
  <si>
    <t>http://place.map.kakao.com/18606983</t>
  </si>
  <si>
    <t>http://place.map.kakao.com/7911714</t>
  </si>
  <si>
    <t>인제스피디움 피트니스클럽</t>
  </si>
  <si>
    <t>http://place.map.kakao.com/19883903</t>
  </si>
  <si>
    <t>김포장릉</t>
  </si>
  <si>
    <t>http://place.map.kakao.com/12458663</t>
  </si>
  <si>
    <t>http://place.map.kakao.com/10254800</t>
  </si>
  <si>
    <t>http://place.map.kakao.com/26952521</t>
  </si>
  <si>
    <t>http://place.map.kakao.com/748327736</t>
  </si>
  <si>
    <t>http://place.map.kakao.com/681597926</t>
  </si>
  <si>
    <t>http://place.map.kakao.com/2045844394</t>
  </si>
  <si>
    <t>정선레일바이크</t>
  </si>
  <si>
    <t>http://place.map.kakao.com/10713257</t>
  </si>
  <si>
    <t>정선 아기동물농장</t>
  </si>
  <si>
    <t>정선아기동물농장</t>
  </si>
  <si>
    <t>http://place.map.kakao.com/599490456</t>
  </si>
  <si>
    <t>정선 양떼목장</t>
  </si>
  <si>
    <t>정선양떼목장</t>
  </si>
  <si>
    <t>http://place.map.kakao.com/26911855</t>
  </si>
  <si>
    <t>http://place.map.kakao.com/11728631</t>
  </si>
  <si>
    <t>http://place.map.kakao.com/8078270</t>
  </si>
  <si>
    <t>http://place.map.kakao.com/11209011</t>
  </si>
  <si>
    <t>http://place.map.kakao.com/25478174</t>
  </si>
  <si>
    <t>조이나믹 체험장</t>
  </si>
  <si>
    <t>DMZ 조이나믹 체험장</t>
  </si>
  <si>
    <t>http://place.map.kakao.com/1944590477</t>
  </si>
  <si>
    <t>죽도정</t>
  </si>
  <si>
    <t>http://place.map.kakao.com/8069442</t>
  </si>
  <si>
    <t>http://place.map.kakao.com/10793255</t>
  </si>
  <si>
    <t>준경묘</t>
  </si>
  <si>
    <t>http://place.map.kakao.com/8069099</t>
  </si>
  <si>
    <t>춘천중도물레길</t>
  </si>
  <si>
    <t>http://place.map.kakao.com/26556637</t>
  </si>
  <si>
    <t>http://place.map.kakao.com/8074259</t>
  </si>
  <si>
    <t>http://place.map.kakao.com/27257731</t>
  </si>
  <si>
    <t>http://place.map.kakao.com/8100113</t>
  </si>
  <si>
    <t>http://place.map.kakao.com/25411516</t>
  </si>
  <si>
    <t>철원고석정꽃밭</t>
  </si>
  <si>
    <t>고석정꽃밭</t>
  </si>
  <si>
    <t>http://place.map.kakao.com/1648762660</t>
  </si>
  <si>
    <t>http://place.map.kakao.com/183546962</t>
  </si>
  <si>
    <t>http://place.map.kakao.com/1117877754</t>
  </si>
  <si>
    <t>한탄강 물윗길</t>
  </si>
  <si>
    <t>http://place.map.kakao.com/886460112</t>
  </si>
  <si>
    <t>한탄강은하수교</t>
  </si>
  <si>
    <t>http://place.map.kakao.com/898493847</t>
  </si>
  <si>
    <t>http://place.map.kakao.com/8109027</t>
  </si>
  <si>
    <t>청대산</t>
  </si>
  <si>
    <t>http://place.map.kakao.com/8088618</t>
  </si>
  <si>
    <t>http://place.map.kakao.com/17583186</t>
  </si>
  <si>
    <t>http://place.map.kakao.com/8105816</t>
  </si>
  <si>
    <t>국립청태산자연휴양림</t>
  </si>
  <si>
    <t>http://place.map.kakao.com/26139470</t>
  </si>
  <si>
    <t>청평사관광지</t>
  </si>
  <si>
    <t>http://place.map.kakao.com/17958874</t>
  </si>
  <si>
    <t>http://place.map.kakao.com/1778342372</t>
  </si>
  <si>
    <t>http://place.map.kakao.com/2109864219</t>
  </si>
  <si>
    <t>http://place.map.kakao.com/10838734</t>
  </si>
  <si>
    <t>춘천박사마을 어린이글램핑장</t>
  </si>
  <si>
    <t>http://place.map.kakao.com/1147568611</t>
  </si>
  <si>
    <t>치악산국립공원</t>
  </si>
  <si>
    <t>http://place.map.kakao.com/1691801060</t>
  </si>
  <si>
    <t>http://place.map.kakao.com/8582434</t>
  </si>
  <si>
    <t>코이카 월드프렌즈빌리지</t>
  </si>
  <si>
    <t>http://place.map.kakao.com/666479885</t>
  </si>
  <si>
    <t>킹카누나루터</t>
  </si>
  <si>
    <t>http://place.map.kakao.com/1423911353</t>
  </si>
  <si>
    <t>http://place.map.kakao.com/14752201</t>
  </si>
  <si>
    <t>탄광문화촌</t>
  </si>
  <si>
    <t>탄광문화촌 (휴관중)</t>
  </si>
  <si>
    <t>http://place.map.kakao.com/18896036</t>
  </si>
  <si>
    <t>태기산</t>
  </si>
  <si>
    <t>http://place.map.kakao.com/15166415</t>
  </si>
  <si>
    <t>http://place.map.kakao.com/8112646</t>
  </si>
  <si>
    <t>태기산풍력발전단지</t>
  </si>
  <si>
    <t>http://place.map.kakao.com/26953117</t>
  </si>
  <si>
    <t>http://place.map.kakao.com/1654875200</t>
  </si>
  <si>
    <t>http://place.map.kakao.com/8108945</t>
  </si>
  <si>
    <t>태백체험공원</t>
  </si>
  <si>
    <t>http://place.map.kakao.com/9502192</t>
  </si>
  <si>
    <t>테라크랩팜</t>
  </si>
  <si>
    <t>http://place.map.kakao.com/27136433</t>
  </si>
  <si>
    <t>http://place.map.kakao.com/1232921652</t>
  </si>
  <si>
    <t>파로호100리산소길</t>
  </si>
  <si>
    <t>http://place.map.kakao.com/397125585</t>
  </si>
  <si>
    <t>파로호국민관광지</t>
  </si>
  <si>
    <t>http://place.map.kakao.com/26953044</t>
  </si>
  <si>
    <t>http://place.map.kakao.com/17384874</t>
  </si>
  <si>
    <t>펫힐링달빛동물원</t>
  </si>
  <si>
    <t>http://place.map.kakao.com/583492333</t>
  </si>
  <si>
    <t>평창 무이예술관</t>
  </si>
  <si>
    <t>평창 밀브릿지</t>
  </si>
  <si>
    <t>밀브릿지</t>
  </si>
  <si>
    <t>http://place.map.kakao.com/1822043453</t>
  </si>
  <si>
    <t>평화의댐 오토캠핑장</t>
  </si>
  <si>
    <t>http://place.map.kakao.com/12611296</t>
  </si>
  <si>
    <t>포매호</t>
  </si>
  <si>
    <t>http://place.map.kakao.com/15145421</t>
  </si>
  <si>
    <t>천주교 풍수원성당</t>
  </si>
  <si>
    <t>http://place.map.kakao.com/8119283</t>
  </si>
  <si>
    <t>http://place.map.kakao.com/1219250209</t>
  </si>
  <si>
    <t>피노디아 미켈란젤로뮤지엄</t>
  </si>
  <si>
    <t>http://place.map.kakao.com/1219060080</t>
  </si>
  <si>
    <t>http://place.map.kakao.com/12697671</t>
  </si>
  <si>
    <t xml:space="preserve">피노키오숲 </t>
  </si>
  <si>
    <t>피노키오숲</t>
  </si>
  <si>
    <t>http://place.map.kakao.com/1523943853</t>
  </si>
  <si>
    <t>http://place.map.kakao.com/10866772</t>
  </si>
  <si>
    <t>http://place.map.kakao.com/24994634</t>
  </si>
  <si>
    <t>하추자연휴양림</t>
  </si>
  <si>
    <t>http://place.map.kakao.com/8655510</t>
  </si>
  <si>
    <t>http://place.map.kakao.com/8628089</t>
  </si>
  <si>
    <t>검룡소</t>
  </si>
  <si>
    <t>http://place.map.kakao.com/10171013</t>
  </si>
  <si>
    <t>한국디엠지평화생명동산</t>
  </si>
  <si>
    <t>http://place.map.kakao.com/11436633</t>
  </si>
  <si>
    <t>한국시집박물관</t>
  </si>
  <si>
    <t>http://place.map.kakao.com/26577924</t>
  </si>
  <si>
    <t>http://place.map.kakao.com/8599511</t>
  </si>
  <si>
    <t>10:00 - 18:00 (동절기/우천 시 변동)</t>
  </si>
  <si>
    <t>http://place.map.kakao.com/1453704804</t>
  </si>
  <si>
    <t>한서남궁억기념관</t>
  </si>
  <si>
    <t>http://place.map.kakao.com/12340047</t>
  </si>
  <si>
    <t>http://place.map.kakao.com/8142162</t>
  </si>
  <si>
    <t>원주한지테마파크</t>
  </si>
  <si>
    <t>http://place.map.kakao.com/14918317</t>
  </si>
  <si>
    <t>항골계곡</t>
  </si>
  <si>
    <t>http://place.map.kakao.com/25618877</t>
  </si>
  <si>
    <t>http://place.map.kakao.com/8164763</t>
  </si>
  <si>
    <t>해안야생화공원</t>
  </si>
  <si>
    <t>http://place.map.kakao.com/92514913</t>
  </si>
  <si>
    <t>해피아울하우스</t>
  </si>
  <si>
    <t>http://place.map.kakao.com/1401522350</t>
  </si>
  <si>
    <t>http://place.map.kakao.com/25626005</t>
  </si>
  <si>
    <t>행구수변공원 그라운드골프장</t>
  </si>
  <si>
    <t>http://place.map.kakao.com/27428556</t>
  </si>
  <si>
    <t>행구수변공원 물놀이장</t>
  </si>
  <si>
    <t>http://place.map.kakao.com/853600656</t>
  </si>
  <si>
    <t>http://place.map.kakao.com/17344148</t>
  </si>
  <si>
    <t>허균허난설헌기념공원 초희전통차체험관</t>
  </si>
  <si>
    <t>http://place.map.kakao.com/1661715932</t>
  </si>
  <si>
    <t>호암소</t>
  </si>
  <si>
    <t>http://place.map.kakao.com/13096082</t>
  </si>
  <si>
    <t>http://place.map.kakao.com/24372688</t>
  </si>
  <si>
    <t>http://place.map.kakao.com/1770086335</t>
  </si>
  <si>
    <t>http://place.map.kakao.com/26163339</t>
  </si>
  <si>
    <t>http://place.map.kakao.com/80140621</t>
  </si>
  <si>
    <t>http://place.map.kakao.com/11205448</t>
  </si>
  <si>
    <t>http://place.map.kakao.com/18323826</t>
  </si>
  <si>
    <t>http://place.map.kakao.com/15171645</t>
  </si>
  <si>
    <t>화암카트체험장</t>
  </si>
  <si>
    <t>http://place.map.kakao.com/25632153</t>
  </si>
  <si>
    <t>http://place.map.kakao.com/25022695</t>
  </si>
  <si>
    <t>http://place.map.kakao.com/10963875</t>
  </si>
  <si>
    <t>회동 솔향캠핑장</t>
  </si>
  <si>
    <t>회동솔향캠핑장</t>
  </si>
  <si>
    <t>http://place.map.kakao.com/21054964</t>
  </si>
  <si>
    <t>http://place.map.kakao.com/367665442</t>
  </si>
  <si>
    <t>http://place.map.kakao.com/1376671961</t>
  </si>
  <si>
    <t>횡성호수길축제</t>
  </si>
  <si>
    <t>http://place.map.kakao.com/156531879</t>
  </si>
  <si>
    <t>횡성회다지소리 문화체험관</t>
  </si>
  <si>
    <t>http://place.map.kakao.com/1418934247</t>
  </si>
  <si>
    <t>효석달빛언덕</t>
  </si>
  <si>
    <t>http://place.map.kakao.com/1192304085</t>
  </si>
  <si>
    <t>http://place.map.kakao.com/10957333</t>
  </si>
  <si>
    <t>http://place.map.kakao.com/8180160</t>
  </si>
  <si>
    <t>흥원창</t>
  </si>
  <si>
    <t>http://place.map.kakao.com/11295210</t>
  </si>
  <si>
    <t>지역</t>
  </si>
  <si>
    <t>전화번호</t>
  </si>
  <si>
    <t>홈페이지</t>
  </si>
  <si>
    <t>평점</t>
  </si>
  <si>
    <t>평점건수</t>
  </si>
  <si>
    <t>리뷰수</t>
  </si>
  <si>
    <t>세부카테고리</t>
  </si>
  <si>
    <t>카테고리코드</t>
  </si>
  <si>
    <t>카테고리명</t>
  </si>
  <si>
    <t>도로명주소</t>
  </si>
  <si>
    <t>장소ID</t>
  </si>
  <si>
    <t>경도</t>
  </si>
  <si>
    <t>위도</t>
  </si>
  <si>
    <t>평창군</t>
  </si>
  <si>
    <t>033-330-5280</t>
  </si>
  <si>
    <t>https://pom2018.org/</t>
  </si>
  <si>
    <t>문화,예술 &gt; 문화시설 &gt; 기념관</t>
  </si>
  <si>
    <t>CT1</t>
  </si>
  <si>
    <t>문화시설</t>
  </si>
  <si>
    <t>강원특별자치도 평창군 대관령면 올림픽로 220</t>
  </si>
  <si>
    <t>태백시</t>
  </si>
  <si>
    <t>0507-1495-7915</t>
  </si>
  <si>
    <t>http://www.taebaek.go.kr/365safetown/index.do</t>
  </si>
  <si>
    <t>여행 &gt; 관광,명소 &gt; 테마파크</t>
  </si>
  <si>
    <t>AT4</t>
  </si>
  <si>
    <t>관광명소</t>
  </si>
  <si>
    <t>강원특별자치도 태백시 평화길 15</t>
  </si>
  <si>
    <t>033-550-3101</t>
  </si>
  <si>
    <t>강릉시</t>
  </si>
  <si>
    <t>033-640-5420</t>
  </si>
  <si>
    <t>https://www.gn.go.kr/tour/index.do</t>
  </si>
  <si>
    <t>여행 &gt; 관광,명소 &gt; 촬영지</t>
  </si>
  <si>
    <t>고성군</t>
  </si>
  <si>
    <t>033-634-8553</t>
  </si>
  <si>
    <t>https://www.dmzmuseum.com</t>
  </si>
  <si>
    <t>문화,예술 &gt; 문화시설 &gt; 박물관</t>
  </si>
  <si>
    <t>강원특별자치도 고성군 현내면 통일전망대로 369</t>
  </si>
  <si>
    <t>033-681-0625</t>
  </si>
  <si>
    <t>철원군</t>
  </si>
  <si>
    <t>033-458-3633</t>
  </si>
  <si>
    <t>여행 &gt; 공원</t>
  </si>
  <si>
    <t>강원특별자치도 철원군 김화읍 생창길 479</t>
  </si>
  <si>
    <t>양구군</t>
  </si>
  <si>
    <t>033-481-8565</t>
  </si>
  <si>
    <t>http://www.dmztrail.or.kr/</t>
  </si>
  <si>
    <t>여행 &gt; 관광,명소 &gt; 도보여행 &gt; 둘레길</t>
  </si>
  <si>
    <t>강원특별자치도 양구군 해안면 해안서화로 35</t>
  </si>
  <si>
    <t>홍천군</t>
  </si>
  <si>
    <t>033-430-2544</t>
  </si>
  <si>
    <t>https://www.hongcheon.go.kr/</t>
  </si>
  <si>
    <t>여행 &gt; 관광,명소 &gt; 폭포</t>
  </si>
  <si>
    <t>033-433-3003</t>
  </si>
  <si>
    <t>0507-1417-8138</t>
  </si>
  <si>
    <t>https://www.hongcheon.go.kr/tour/contents.do?key=1892</t>
  </si>
  <si>
    <t>여행 &gt; 체험여행</t>
  </si>
  <si>
    <t>강원특별자치도 홍천군 두촌면 가리산길 426</t>
  </si>
  <si>
    <t>070-8831-8138</t>
  </si>
  <si>
    <t>원주시</t>
  </si>
  <si>
    <t>033-733-6600</t>
  </si>
  <si>
    <t>http://www.wjrailpark.com/</t>
  </si>
  <si>
    <t>교통,수송 &gt; 기차,철도 &gt; 기차역 &gt; 폐역</t>
  </si>
  <si>
    <t>강원특별자치도 원주시 지정면 간현로 163</t>
  </si>
  <si>
    <t>1544-7788</t>
  </si>
  <si>
    <t>양양군</t>
  </si>
  <si>
    <t>033-673-8799</t>
  </si>
  <si>
    <t>https://tour.yangyang.go.kr/</t>
  </si>
  <si>
    <t>여행 &gt; 관광,명소 &gt; 샘터,약수터</t>
  </si>
  <si>
    <t>강원특별자치도 양양군 서면 구룡령로 1103-66</t>
  </si>
  <si>
    <t>033-648-5303</t>
  </si>
  <si>
    <t>https://knsgj.net/</t>
  </si>
  <si>
    <t>여행 &gt; 관광,명소 &gt; 문화유적</t>
  </si>
  <si>
    <t>강원특별자치도 강릉시 운정길 63</t>
  </si>
  <si>
    <t>033-646-3270</t>
  </si>
  <si>
    <t>033-660-2322</t>
  </si>
  <si>
    <t>http://www.gn.go.kr/solhyang/index.do</t>
  </si>
  <si>
    <t>여행 &gt; 관광,명소 &gt; 수목원,식물원</t>
  </si>
  <si>
    <t>강원특별자치도 강릉시 구정면 수목원길 156</t>
  </si>
  <si>
    <t>033-660-3887</t>
  </si>
  <si>
    <t>https://www.gn.go.kr/tour/prog/lod/Sights/S01/sub02_02_01/view.do?cid=437</t>
  </si>
  <si>
    <t>여행 &gt; 관광,명소 &gt; 해수욕장,해변</t>
  </si>
  <si>
    <t>033-644-8552</t>
  </si>
  <si>
    <t>https://blog.naver.com/sanai4744</t>
  </si>
  <si>
    <t>여행 &gt; 관광,명소 &gt; 관광농원</t>
  </si>
  <si>
    <t>강원특별자치도 강릉시 왕산면 안반데기1길 203</t>
  </si>
  <si>
    <t>033-640-4565</t>
  </si>
  <si>
    <t>https://www.gn.go.kr/tour/prog/lod/Sights/S03/sub02_04_01/view.do?cid=256422</t>
  </si>
  <si>
    <t>여행 &gt; 관광,명소 &gt; 테마거리</t>
  </si>
  <si>
    <t>강원특별자치도 강릉시 경강로 2111</t>
  </si>
  <si>
    <t>0507-1324-2285</t>
  </si>
  <si>
    <t>가정,생활 &gt; 시장</t>
  </si>
  <si>
    <t>강원특별자치도 강릉시 금성로 21</t>
  </si>
  <si>
    <t>033-648-2285</t>
  </si>
  <si>
    <t>033-640-5135</t>
  </si>
  <si>
    <t>https://ggcoffeestreet.modoo.at/</t>
  </si>
  <si>
    <t>여행 &gt; 관광,명소 &gt; 테마거리 &gt; 카페거리</t>
  </si>
  <si>
    <t>강원특별자치도 강릉시 창해로14번길 20</t>
  </si>
  <si>
    <t>강원특별자치도 강릉시 해안로 634</t>
  </si>
  <si>
    <t>033-747-2416</t>
  </si>
  <si>
    <t>http://gangwongamyoung500.com/</t>
  </si>
  <si>
    <t>여행 &gt; 관광,명소 &gt; 문화유적 &gt; 유적지</t>
  </si>
  <si>
    <t>강원특별자치도 원주시 원일로 77</t>
  </si>
  <si>
    <t>춘천시</t>
  </si>
  <si>
    <t>033-248-6685</t>
  </si>
  <si>
    <t>https://www.gwpa.kr/</t>
  </si>
  <si>
    <t>강원특별자치도 춘천시 화목원길 24</t>
  </si>
  <si>
    <t>033-433-1994</t>
  </si>
  <si>
    <t>https://ecopark.gwd.go.kr/portal</t>
  </si>
  <si>
    <t>여행 &gt; 공원 &gt; 도시근린공원</t>
  </si>
  <si>
    <t>강원특별자치도 홍천군 북방면 생태공원길 319</t>
  </si>
  <si>
    <t>033-248-6570</t>
  </si>
  <si>
    <t>삼척시</t>
  </si>
  <si>
    <t>033-541-1523</t>
  </si>
  <si>
    <t>http://www.museum.gangwon.kr/</t>
  </si>
  <si>
    <t>강원특별자치도 삼척시 신기면 강원남부로 3016</t>
  </si>
  <si>
    <t>춘천시</t>
    <phoneticPr fontId="1" type="noConversion"/>
  </si>
  <si>
    <t>033-245-1000</t>
  </si>
  <si>
    <t>강원특별자치도 춘천시 남산면 서백길 57</t>
  </si>
  <si>
    <t>https://www.railpark.co.kr/</t>
  </si>
  <si>
    <t>강원특별자치도 춘천시 신동면 김유정로 1383</t>
  </si>
  <si>
    <t>화천군</t>
  </si>
  <si>
    <t>033-442-1211</t>
  </si>
  <si>
    <t>여행 &gt; 관광,명소</t>
  </si>
  <si>
    <t>033-682-8100</t>
  </si>
  <si>
    <t>https://www.gwgs.go.kr/tour/index.do</t>
  </si>
  <si>
    <t>문화,예술 &gt; 종교 &gt; 불교 &gt; 절,사찰</t>
  </si>
  <si>
    <t>강원특별자치도 고성군 거진읍 건봉사로 723</t>
  </si>
  <si>
    <t>0507-1320-4901</t>
  </si>
  <si>
    <t>https://www.gn.go.kr/tour/prog/lod/Sights/S01/sub02_02_01/view.do?cid=434&amp;orderBy=B&amp;pageIndex=1&amp;searchCondition=sj&amp;searchKeyword=%EA%B2%BD%ED%8F%AC%ED%95%B4%EB%B3%80</t>
  </si>
  <si>
    <t>여행 &gt; 관광,명소 &gt; 광장</t>
  </si>
  <si>
    <t>강원특별자치도 강릉시 창해로 514</t>
  </si>
  <si>
    <t>033-339-9016</t>
  </si>
  <si>
    <t>https://www.camfit.co.kr/camp/61d3a4fa5df366001e3f16a6</t>
  </si>
  <si>
    <t>여행 &gt; 숙박 &gt; 야영,캠핑장 &gt; 오토캠핑장</t>
  </si>
  <si>
    <t>AD5</t>
  </si>
  <si>
    <t>숙박</t>
  </si>
  <si>
    <t>강원특별자치도 평창군 용평면 이승복생가길 160</t>
  </si>
  <si>
    <t>033-581-3003</t>
  </si>
  <si>
    <t>https://tour.taebaek.go.kr/tpmuseum</t>
  </si>
  <si>
    <t>강원특별자치도 태백시 태백로 2249</t>
  </si>
  <si>
    <t>033-581-8181</t>
  </si>
  <si>
    <t>033-450-5558</t>
  </si>
  <si>
    <t>033-680-3114</t>
  </si>
  <si>
    <t>https://blog.naver.com/happy-goseong/222505032066</t>
  </si>
  <si>
    <t>여행 &gt; 관광,명소 &gt; 바위</t>
  </si>
  <si>
    <t>033-681-0005</t>
  </si>
  <si>
    <t>https://www.lavenderfarm.co.kr/</t>
  </si>
  <si>
    <t>서비스,산업 &gt; 농업 &gt; 원예업</t>
  </si>
  <si>
    <t>강원특별자치도 고성군 간성읍 꽃대마을길 175</t>
  </si>
  <si>
    <t>033-682-0088</t>
  </si>
  <si>
    <t>http://www.tongiltour.co.kr/</t>
  </si>
  <si>
    <t>여행 &gt; 관광,명소 &gt; 전망대</t>
  </si>
  <si>
    <t>강원특별자치도 고성군 현내면 통일전망대로 457</t>
  </si>
  <si>
    <t>033-680-3677</t>
  </si>
  <si>
    <t>여행 &gt; 관광,명소 &gt; 계곡</t>
  </si>
  <si>
    <t>인제군</t>
  </si>
  <si>
    <t>033-463-8166</t>
  </si>
  <si>
    <t>여행 &gt; 관광,명소 &gt; 고개</t>
  </si>
  <si>
    <t>033-430-2796</t>
  </si>
  <si>
    <t>https://www.hongcheon.go.kr/sutasa</t>
  </si>
  <si>
    <t>여행 &gt; 관광,명소 &gt; 숲</t>
  </si>
  <si>
    <t>033-261-0088</t>
  </si>
  <si>
    <t>http://tour.chuncheon.go.kr/</t>
  </si>
  <si>
    <t>강원특별자치도 춘천시 남산면 강촌구곡길 254</t>
  </si>
  <si>
    <t>033-560-2379</t>
  </si>
  <si>
    <t>https://tour.taebaek.go.kr/</t>
  </si>
  <si>
    <t>여행 &gt; 관광,명소 &gt; 동굴</t>
  </si>
  <si>
    <t>정선군</t>
  </si>
  <si>
    <t>033-562-5833</t>
  </si>
  <si>
    <t>https://www.foresttrip.go.kr/indvz/main.do?hmpgId=0113</t>
  </si>
  <si>
    <t>여행 &gt; 관광,명소 &gt; 자연휴양림</t>
  </si>
  <si>
    <t>강원특별자치도 정선군 정선읍 가리왕산로 791</t>
  </si>
  <si>
    <t>033-749-3500</t>
  </si>
  <si>
    <t>https://www.gwnsm.or.kr/</t>
  </si>
  <si>
    <t>문화,예술 &gt; 문화시설 &gt; 과학관</t>
  </si>
  <si>
    <t>강원특별자치도 원주시 북원로 2790</t>
  </si>
  <si>
    <t>033-673-1806</t>
  </si>
  <si>
    <t>https://www.foresttrip.go.kr/indvz/main.do?hmpgId=0112</t>
  </si>
  <si>
    <t>033-766-1063</t>
  </si>
  <si>
    <t>https://www.foresttrip.go.kr/indvz/main.do?hmpgId=0223</t>
  </si>
  <si>
    <t>강원특별자치도 원주시 판부면 백운산길 81</t>
  </si>
  <si>
    <t>속초시</t>
  </si>
  <si>
    <t>033-632-6653</t>
  </si>
  <si>
    <t>https://www.nationalmschool.kr/</t>
  </si>
  <si>
    <t>교육,학문 &gt; 교육단체</t>
  </si>
  <si>
    <t>강원특별자치도 속초시 미시령로 3056</t>
  </si>
  <si>
    <t>033-632-6650</t>
  </si>
  <si>
    <t>033-260-1500</t>
  </si>
  <si>
    <t>https://chuncheon.museum.go.kr/</t>
  </si>
  <si>
    <t>강원특별자치도 춘천시 우석로 70</t>
  </si>
  <si>
    <t>0507-1314-9006</t>
  </si>
  <si>
    <t>https://ccfowi.modoo.at/</t>
  </si>
  <si>
    <t>033-260-5800</t>
  </si>
  <si>
    <t>횡성군</t>
  </si>
  <si>
    <t>033-340-6300</t>
  </si>
  <si>
    <t>https://hoengseong.fowi.or.kr/</t>
  </si>
  <si>
    <t>강원특별자치도 횡성군 둔내면 청태산로 777</t>
  </si>
  <si>
    <t>033-336-4037</t>
  </si>
  <si>
    <t>http://www.daegwallyeongsupgil.kr/</t>
  </si>
  <si>
    <t>여행 &gt; 관광,명소 &gt; 도보여행</t>
  </si>
  <si>
    <t>033-480-7257</t>
  </si>
  <si>
    <t>https://www.ygtour.kr/Home/index</t>
  </si>
  <si>
    <t>여행 &gt; 관광,명소 &gt; 천문대</t>
  </si>
  <si>
    <t>강원특별자치도 양구군 국토정중앙면 국토정중앙로 127</t>
  </si>
  <si>
    <t>033-633-1525</t>
  </si>
  <si>
    <t>강원특별자치도 고성군 토성면 화암사길 100</t>
  </si>
  <si>
    <t>영월군</t>
  </si>
  <si>
    <t>033-375-7900</t>
  </si>
  <si>
    <t>https://www.yw.go.kr/tour/index.do#lastPage</t>
  </si>
  <si>
    <t>강원특별자치도 영월군 김삿갓면 김삿갓로 216-22</t>
  </si>
  <si>
    <t>033-261-4650</t>
  </si>
  <si>
    <t>http://www.kimyoujeong.org/</t>
  </si>
  <si>
    <t>여행 &gt; 체험여행 &gt; 정보화,체험마을</t>
  </si>
  <si>
    <t>강원특별자치도 춘천시 신동면 김유정로 1430-14</t>
  </si>
  <si>
    <t>https://www.gwgs.go.kr/tour/</t>
  </si>
  <si>
    <t>문화,예술 &gt; 문화시설 &gt; 전시관</t>
  </si>
  <si>
    <t>033-680-3469</t>
  </si>
  <si>
    <t>033-563-3646</t>
  </si>
  <si>
    <t>https://www.instagram.com/najeoncafe/</t>
  </si>
  <si>
    <t>음식점 &gt; 카페 &gt; 커피전문점</t>
  </si>
  <si>
    <t>CE7</t>
  </si>
  <si>
    <t>카페</t>
  </si>
  <si>
    <t>강원특별자치도 정선군 북평면 북평8길 38</t>
  </si>
  <si>
    <t>0503-7150-1283</t>
  </si>
  <si>
    <t>033-672-2447</t>
  </si>
  <si>
    <t>http://www.naksansa.or.kr/web/home.php</t>
  </si>
  <si>
    <t>강원특별자치도 양양군 강현면 낙산사로 98-19</t>
  </si>
  <si>
    <t>033-672-2478</t>
  </si>
  <si>
    <t>033-572-4429</t>
  </si>
  <si>
    <t>https://www.samcheok.go.kr/tour.web</t>
  </si>
  <si>
    <t>강원특별자치도 삼척시 원덕읍 삼척로 1852-6</t>
  </si>
  <si>
    <t>033-640-4414</t>
  </si>
  <si>
    <t>https://tour.yangyang.go.kr/pub/yy10view.do?mode=v&amp;seq=170</t>
  </si>
  <si>
    <t>여행 &gt; 관광,명소 &gt; 하천</t>
  </si>
  <si>
    <t>033-670-2398</t>
  </si>
  <si>
    <t>교통,수송 &gt; 교통시설 &gt; 항구,포구</t>
  </si>
  <si>
    <t>0507-1311-8114</t>
  </si>
  <si>
    <t>https://www.namisum.com/</t>
  </si>
  <si>
    <t>여행 &gt; 관광,명소 &gt; 유원지</t>
  </si>
  <si>
    <t>강원특별자치도 춘천시 남산면 남이섬길 1</t>
  </si>
  <si>
    <t>031-580-8114</t>
  </si>
  <si>
    <t>동해시</t>
  </si>
  <si>
    <t>033-530-2231</t>
  </si>
  <si>
    <t>https://www.dh.go.kr/tour/index.htm</t>
  </si>
  <si>
    <t>033-249-3881</t>
  </si>
  <si>
    <t>https://koreadmz.kr/</t>
  </si>
  <si>
    <t>평창군</t>
    <phoneticPr fontId="1" type="noConversion"/>
  </si>
  <si>
    <t>033-335-1966</t>
  </si>
  <si>
    <t>서비스,산업 &gt; 축산업 &gt; 농장,목장</t>
  </si>
  <si>
    <t>강원특별자치도 평창군 대관령면 대관령마루길 483-32</t>
  </si>
  <si>
    <t>033-332-8061</t>
  </si>
  <si>
    <t>http://www.yangtte.co.kr/</t>
  </si>
  <si>
    <t>강원특별자치도 평창군 대관령면 꽃밭양지길 458-23</t>
  </si>
  <si>
    <t>033-641-9990</t>
  </si>
  <si>
    <t>https://www.foresttrip.go.kr/</t>
  </si>
  <si>
    <t>강원특별자치도 강릉시 성산면 삼포암길 133</t>
  </si>
  <si>
    <t>033-460-2170</t>
  </si>
  <si>
    <t>여행 &gt; 관광,명소 &gt; 생태보존,서식지</t>
  </si>
  <si>
    <t>033-530-2272</t>
  </si>
  <si>
    <t>033-570-3845</t>
  </si>
  <si>
    <t>https://www.samcheok.go.kr/</t>
  </si>
  <si>
    <t>033-534-6955</t>
  </si>
  <si>
    <t>https://www.dh.go.kr/tour/</t>
  </si>
  <si>
    <t>033-375-0012</t>
  </si>
  <si>
    <t>http://rafting24.co.kr/html/index.html</t>
  </si>
  <si>
    <t>스포츠,레저 &gt; 수영,수상 &gt; 수상스포츠</t>
  </si>
  <si>
    <t>강원특별자치도 영월군 영월읍 동강로 826</t>
  </si>
  <si>
    <t>1544-7569</t>
  </si>
  <si>
    <t>033-560-3464</t>
  </si>
  <si>
    <t>https://jsimc.or.kr/</t>
  </si>
  <si>
    <t>여행 &gt; 숙박 &gt; 야영,캠핑장</t>
  </si>
  <si>
    <t>강원특별자치도 정선군 신동읍 동강로 916-212</t>
  </si>
  <si>
    <t>부동산 &gt; 지명</t>
  </si>
  <si>
    <t>1577-0545</t>
  </si>
  <si>
    <t>https://www.yw.go.kr/tour/index.do#secondPage</t>
  </si>
  <si>
    <t>033-372-0545</t>
  </si>
  <si>
    <t>033-530-2391</t>
  </si>
  <si>
    <t>https://www.dh.go.kr/forest/</t>
  </si>
  <si>
    <t>여행 &gt; 숙박</t>
  </si>
  <si>
    <t>강원특별자치도 동해시 삼화로 455</t>
  </si>
  <si>
    <t>033-530-2801</t>
  </si>
  <si>
    <t>http://www.cha.go.kr/</t>
  </si>
  <si>
    <t>033-746-8511</t>
  </si>
  <si>
    <t>https://www.wonju.go.kr/tour/contents.do?key=5718</t>
  </si>
  <si>
    <t>033-440-2543</t>
  </si>
  <si>
    <t>여행 &gt; 관광,명소 &gt; 산</t>
  </si>
  <si>
    <t>033-372-8123</t>
  </si>
  <si>
    <t>http://www.radiostar.or.kr/</t>
  </si>
  <si>
    <t>강원특별자치도 영월군 영월읍 금강공원길 84-3</t>
  </si>
  <si>
    <t>0507-1425-3694</t>
  </si>
  <si>
    <t>https://www.romyziangarden.com/</t>
  </si>
  <si>
    <t>강원특별자치도 정선군 북평면 어래길 20</t>
  </si>
  <si>
    <t>02-3288-3377</t>
  </si>
  <si>
    <t>033-372-4702</t>
  </si>
  <si>
    <t>https://riverbugging.modoo.at/</t>
  </si>
  <si>
    <t>강원특별자치도 인제군 상남면 내린천로 1446</t>
  </si>
  <si>
    <t>033-462-2303</t>
  </si>
  <si>
    <t>http://manhae2003.dongguk.edu/</t>
  </si>
  <si>
    <t>033-539-3600</t>
  </si>
  <si>
    <t>https://www.campingkorea.or.kr/</t>
  </si>
  <si>
    <t>강원특별자치도 동해시 동해대로 6370</t>
  </si>
  <si>
    <t>033-530-2800</t>
  </si>
  <si>
    <t>http://www.dh.go.kr/tour/mangsang/</t>
  </si>
  <si>
    <t>강원특별자치도 동해시 동해대로 6270-10</t>
  </si>
  <si>
    <t>033-530-2232</t>
  </si>
  <si>
    <t>033-550-2081</t>
  </si>
  <si>
    <t>https://tour.taebaek.go.kr/tour</t>
  </si>
  <si>
    <t>033-450-5114</t>
  </si>
  <si>
    <t>033-550-2828</t>
  </si>
  <si>
    <t>033-539-3700</t>
  </si>
  <si>
    <t>https://www.mureungvalley.or.kr/</t>
  </si>
  <si>
    <t>강원특별자치도 동해시 삼화로 467</t>
  </si>
  <si>
    <t>033-335-4118</t>
  </si>
  <si>
    <t>https://tour.pc.go.kr/Home/index</t>
  </si>
  <si>
    <t>강원특별자치도 평창군 봉평면 사리평길 233</t>
  </si>
  <si>
    <t>033-531-3258</t>
  </si>
  <si>
    <t>강원특별자치도 동해시 해맞이길 289</t>
  </si>
  <si>
    <t>정선군</t>
    <phoneticPr fontId="1" type="noConversion"/>
  </si>
  <si>
    <t>0507-1430-9001</t>
  </si>
  <si>
    <t>http://www.museumsan.org/</t>
  </si>
  <si>
    <t>강원특별자치도 원주시 지정면 오크밸리2길 260</t>
  </si>
  <si>
    <t>033-730-9000</t>
  </si>
  <si>
    <t>033-743-2570</t>
  </si>
  <si>
    <t>https://www.instagram.com/miroart_market/?igshid=YmMyMTA2M2Y=</t>
  </si>
  <si>
    <t>강원특별자치도 원주시 중앙시장길 6</t>
  </si>
  <si>
    <t>033-430-4451</t>
  </si>
  <si>
    <t>033-436-8006</t>
  </si>
  <si>
    <t>033-570-4062</t>
  </si>
  <si>
    <t>https://www.samcheok.go.kr/tour/01456/01467/01492.web?amode=view&amp;idx=271&amp;</t>
  </si>
  <si>
    <t>033-570-4704</t>
  </si>
  <si>
    <t>1544-9053</t>
  </si>
  <si>
    <t>https://www.jeongseon.go.kr/tour</t>
  </si>
  <si>
    <t>033-762-6843</t>
  </si>
  <si>
    <t>https://www.wonju.go.kr/tojipark/index.do</t>
  </si>
  <si>
    <t>강원특별자치도 원주시 토지길 1</t>
  </si>
  <si>
    <t>0507-1364-7226</t>
  </si>
  <si>
    <t>http://www.parksookeun.or.kr/</t>
  </si>
  <si>
    <t>문화,예술 &gt; 문화시설 &gt; 미술관</t>
  </si>
  <si>
    <t>강원특별자치도 양구군 양구읍 박수근로 265-15</t>
  </si>
  <si>
    <t>033-480-7228</t>
  </si>
  <si>
    <t>033-462-2086</t>
  </si>
  <si>
    <t>강원특별자치도 인제군 인제읍 인제로156번길 50</t>
  </si>
  <si>
    <t>033-742-2111</t>
  </si>
  <si>
    <t>https://www.wonju.go.kr/tour/index.do</t>
  </si>
  <si>
    <t>강원특별자치도 원주시 달마중3길 30</t>
  </si>
  <si>
    <t>033-463-8590</t>
  </si>
  <si>
    <t>https://www.foresttrip.go.kr/indvz/main.do?hmpgId=0109</t>
  </si>
  <si>
    <t>033-434-3011</t>
  </si>
  <si>
    <t>강원특별자치도 홍천군 서면 마곡길 153-5</t>
  </si>
  <si>
    <t>010-2474-3011</t>
  </si>
  <si>
    <t>033-462-5565</t>
  </si>
  <si>
    <t>강원특별자치도 인제군 북면 백담로 746</t>
  </si>
  <si>
    <t>033-680-3046</t>
  </si>
  <si>
    <t>033-440-2708</t>
  </si>
  <si>
    <t>https://baegamcable.ihc.go.kr/portal</t>
  </si>
  <si>
    <t>여행 &gt; 관광,명소 &gt; 케이블카</t>
  </si>
  <si>
    <t>강원특별자치도 화천군 화천읍 상승로 38-5</t>
  </si>
  <si>
    <t>0507-1361-2708</t>
  </si>
  <si>
    <t>033-374-9177</t>
  </si>
  <si>
    <t>http://www.bubheungsa.kr/</t>
  </si>
  <si>
    <t>경남 밀양시 단장면 법흥1길 16-1</t>
  </si>
  <si>
    <t>033-372-8445</t>
  </si>
  <si>
    <t>https://www.yao.or.kr:451/</t>
  </si>
  <si>
    <t>033-563-4100</t>
  </si>
  <si>
    <t>https://www.ariihills.co.kr/</t>
  </si>
  <si>
    <t>033-343-7639</t>
  </si>
  <si>
    <t>http://xn--vh3b1l64u9pb68d9xkusfbqi.kr/</t>
  </si>
  <si>
    <t>강원특별자치도 횡성군 갑천면 어답산로 516</t>
  </si>
  <si>
    <t>033-680-3356</t>
  </si>
  <si>
    <t>033-336-9987</t>
  </si>
  <si>
    <t>http://brushstory.co.kr/</t>
  </si>
  <si>
    <t>강원특별자치도 춘천시 서면 박사로 906</t>
  </si>
  <si>
    <t>033-255-0580</t>
  </si>
  <si>
    <t>여행 &gt; 관광,명소 &gt; 섬 &gt; 섬(내륙)</t>
  </si>
  <si>
    <t>의료,건강 &gt; 한약국,한약방</t>
  </si>
  <si>
    <t>경기 평택시 팽성읍 안정쇼핑로 82</t>
  </si>
  <si>
    <t>031-691-3913</t>
  </si>
  <si>
    <t>033-442-2544</t>
  </si>
  <si>
    <t>강원특별자치도 화천군 화천읍 상승로2길 21</t>
  </si>
  <si>
    <t>033-441-0797</t>
  </si>
  <si>
    <t>https://hspg.ihc.go.kr/main</t>
  </si>
  <si>
    <t>스포츠,레저 &gt; 골프 &gt; 파크골프장</t>
  </si>
  <si>
    <t>강원특별자치도 화천군 하남면 춘화로 3061-17</t>
  </si>
  <si>
    <t>033-442-9400</t>
  </si>
  <si>
    <t>https://hwacheonsanta.modoo.at/</t>
  </si>
  <si>
    <t>강원특별자치도 화천군 화천읍 산수화로 10</t>
  </si>
  <si>
    <t>033-440-2484</t>
  </si>
  <si>
    <t>교통,수송 &gt; 도로시설 &gt; 육교</t>
  </si>
  <si>
    <t>033-435-8536</t>
  </si>
  <si>
    <t>https://www.foresttrip.go.kr/indvz/main.do?hmpgId=0107</t>
  </si>
  <si>
    <t>강원특별자치도 홍천군 내면 삼봉휴양길 276</t>
  </si>
  <si>
    <t>033-450-5365</t>
  </si>
  <si>
    <t>033-262-2215</t>
  </si>
  <si>
    <t>033-335-5044</t>
  </si>
  <si>
    <t>강원특별자치도 평창군 대관령면 꽃밭양지길 708-9</t>
  </si>
  <si>
    <t>033-570-4616</t>
  </si>
  <si>
    <t>https://www.samcheok.go.kr/tour/01456/01463/01475.web</t>
  </si>
  <si>
    <t>교육,학문 &gt; 교육단체 &gt; 체험학습장</t>
  </si>
  <si>
    <t>강원특별자치도 삼척시 수로부인길 333</t>
  </si>
  <si>
    <t>033-570-4065</t>
  </si>
  <si>
    <t>강원특별자치도 삼척시 오십천로 586</t>
  </si>
  <si>
    <t>033-575-1330</t>
  </si>
  <si>
    <t>033-570-4401</t>
  </si>
  <si>
    <t>1668-4268</t>
  </si>
  <si>
    <t>https://samcheokcablecar.kr/</t>
  </si>
  <si>
    <t>강원특별자치도 삼척시 근덕면 삼척로 2154-31</t>
  </si>
  <si>
    <t>삼척시</t>
    <phoneticPr fontId="1" type="noConversion"/>
  </si>
  <si>
    <t>강원특별자치도 삼척시 근덕면 장호항길 12-10</t>
  </si>
  <si>
    <t>033-591-3001</t>
  </si>
  <si>
    <t>http://samtanartmine.com/</t>
  </si>
  <si>
    <t>문화,예술 &gt; 문화시설</t>
  </si>
  <si>
    <t>강원특별자치도 정선군 고한읍 함백산로 1445-44</t>
  </si>
  <si>
    <t>033-639-2690</t>
  </si>
  <si>
    <t>https://www.sokchotour.com/tour/destination?cid=258097&amp;mode=read</t>
  </si>
  <si>
    <t>강원특별자치도 속초시 상도문1길 30</t>
  </si>
  <si>
    <t>1522-2729</t>
  </si>
  <si>
    <t>https://www.surfyy.com/</t>
  </si>
  <si>
    <t>음식점 &gt; 술집</t>
  </si>
  <si>
    <t>FD6</t>
  </si>
  <si>
    <t>음식점</t>
  </si>
  <si>
    <t>강원특별자치도 양양군 현북면 하조대해안길 119</t>
  </si>
  <si>
    <t>033-638-7711</t>
  </si>
  <si>
    <t>http://www.dogong.net/</t>
  </si>
  <si>
    <t>강원특별자치도 속초시 엑스포로 156</t>
  </si>
  <si>
    <t>033-638-7712</t>
  </si>
  <si>
    <t>https://www.yw.go.kr/tour/index.do</t>
  </si>
  <si>
    <t>070-7722-2548</t>
  </si>
  <si>
    <t>http://xn--9g3b95gwves5a9t2dt75ct5m.kr/mall/</t>
  </si>
  <si>
    <t>033-801-0900</t>
  </si>
  <si>
    <t>033-639-2928</t>
  </si>
  <si>
    <t>https://www.knps.or.kr/</t>
  </si>
  <si>
    <t>강원특별자치도 속초시 바람꽃마을길 164</t>
  </si>
  <si>
    <t>033-635-2003</t>
  </si>
  <si>
    <t>https://www.sokchotour.com/tour</t>
  </si>
  <si>
    <t>강원특별자치도 속초시 동해대로 3664</t>
  </si>
  <si>
    <t>0507-1406-8126</t>
  </si>
  <si>
    <t>https://cafe.naver.com/sottong0</t>
  </si>
  <si>
    <t>강원특별자치도 고성군 간성읍 소똥령마을길 82</t>
  </si>
  <si>
    <t>033-681-8126</t>
  </si>
  <si>
    <t>033-240-1695</t>
  </si>
  <si>
    <t>강원특별자치도 춘천시 영서로 2663</t>
  </si>
  <si>
    <t>033-250-3089</t>
  </si>
  <si>
    <t>인제군</t>
    <phoneticPr fontId="1" type="noConversion"/>
  </si>
  <si>
    <t>033-450-5532</t>
  </si>
  <si>
    <t>철원군</t>
    <phoneticPr fontId="1" type="noConversion"/>
  </si>
  <si>
    <t>070-7372-0362</t>
  </si>
  <si>
    <t>033-635-8433</t>
  </si>
  <si>
    <t>http://sokcho-central.co.kr/</t>
  </si>
  <si>
    <t>강원특별자치도 속초시 중앙로147번길 16</t>
  </si>
  <si>
    <t>033-633-3406</t>
  </si>
  <si>
    <t>0507-1399-2977</t>
  </si>
  <si>
    <t>https://www.sokchomuse.go.kr/main/</t>
  </si>
  <si>
    <t>강원특별자치도 속초시 신흥2길 16</t>
  </si>
  <si>
    <t>033-639-2976</t>
  </si>
  <si>
    <t>0507-1471-2302</t>
  </si>
  <si>
    <t>가정,생활 &gt; 유아 &gt; 장난감,완구</t>
  </si>
  <si>
    <t>강원특별자치도 속초시 중앙부두길 24</t>
  </si>
  <si>
    <t>010-9723-4566</t>
  </si>
  <si>
    <t>033-639-2027</t>
  </si>
  <si>
    <t>강원특별자치도 속초시 해오름로 186</t>
  </si>
  <si>
    <t>033-631-6055</t>
  </si>
  <si>
    <t>여행 &gt; 관광,명소 &gt; 강</t>
  </si>
  <si>
    <t>0507-1356-2644</t>
  </si>
  <si>
    <t>https://www.foresttrip.go.kr/indvz/main.do?hmpgId=ID02030049</t>
  </si>
  <si>
    <t>강원특별자치도 양양군 양양읍 고노동길 98-50</t>
  </si>
  <si>
    <t>033-670-2644</t>
  </si>
  <si>
    <t>0507-1452-4040</t>
  </si>
  <si>
    <t>스포츠,레저 &gt; 스포츠시설 &gt; 서바이벌게임</t>
  </si>
  <si>
    <t>강원특별자치도 고성군 죽왕면 동해대로 6090-22</t>
  </si>
  <si>
    <t>033-680-4040</t>
  </si>
  <si>
    <t>033-680-3556</t>
  </si>
  <si>
    <t>https://www.gwgs.go.kr/prog/tursmCn/tour/sub02_05/view.do?cntno=49</t>
  </si>
  <si>
    <t>강원특별자치도 고성군 죽왕면 동해대로 6021</t>
  </si>
  <si>
    <t>033-673-8977</t>
  </si>
  <si>
    <t>https://songcheon.invil.org/index.html</t>
  </si>
  <si>
    <t>강원특별자치도 양양군 서면 떡마을길 107</t>
  </si>
  <si>
    <t>033-673-7020</t>
  </si>
  <si>
    <t>033-570-4995</t>
  </si>
  <si>
    <t>033-576-0589</t>
  </si>
  <si>
    <t>033-436-6611</t>
  </si>
  <si>
    <t>http://www.sutasa.org/</t>
  </si>
  <si>
    <t>강원특별자치도 홍천군 영귀미면 수타사로 473</t>
  </si>
  <si>
    <t>033-430-2492</t>
  </si>
  <si>
    <t>https://www.hongcheon.go.kr/tour/contents.do?key=2048</t>
  </si>
  <si>
    <t>033-462-2554</t>
  </si>
  <si>
    <t>http://sodolpark.co.kr/</t>
  </si>
  <si>
    <t>1899-5008</t>
  </si>
  <si>
    <t>https://artemuseum.com/</t>
  </si>
  <si>
    <t>강원특별자치도 강릉시 난설헌로 131</t>
  </si>
  <si>
    <t>스포츠,레저 &gt; 스포츠시설</t>
  </si>
  <si>
    <t>강원특별자치도 정선군 정선읍 병방치길 235</t>
  </si>
  <si>
    <t>033-633-3171</t>
  </si>
  <si>
    <t>http://www.abai.co.kr/home/</t>
  </si>
  <si>
    <t>http://www.ayajinbeach.co.kr/</t>
  </si>
  <si>
    <t>0507-1361-5991</t>
  </si>
  <si>
    <t>https://www.hsg.go.kr/tour/contents.do?key=1362</t>
  </si>
  <si>
    <t>강원특별자치도 횡성군 안흥면 주천강로 1868</t>
  </si>
  <si>
    <t>033-344-5990</t>
  </si>
  <si>
    <t>1899-2250</t>
  </si>
  <si>
    <t>https://www.alpacaworld.co.kr/</t>
  </si>
  <si>
    <t>강원특별자치도 홍천군 화촌면 덕밭재길 146-155</t>
  </si>
  <si>
    <t>033-336-7766</t>
  </si>
  <si>
    <t>https://www.alpensia.com/main.do</t>
  </si>
  <si>
    <t>강원특별자치도 평창군 대관령면 스포츠파크길 135</t>
  </si>
  <si>
    <t>033-482-1945</t>
  </si>
  <si>
    <t>http://www.ygpm.or.kr/</t>
  </si>
  <si>
    <t>강원특별자치도 양구군 양구읍 금강산로 439-51</t>
  </si>
  <si>
    <t>033-480-7221</t>
  </si>
  <si>
    <t>033-480-2664</t>
  </si>
  <si>
    <t>http://www.yanggum.or.kr/</t>
  </si>
  <si>
    <t>강원특별자치도 양구군 방산면 평화로 5182</t>
  </si>
  <si>
    <t>033-480-7238</t>
  </si>
  <si>
    <t>033-480-2677</t>
  </si>
  <si>
    <t>강원특별자치도 양구군 양구읍 금강산로 439-52</t>
  </si>
  <si>
    <t>033-481-9021</t>
  </si>
  <si>
    <t>033-480-7251</t>
  </si>
  <si>
    <t>033-480-7391</t>
  </si>
  <si>
    <t>https://www.yg-eco.kr/</t>
  </si>
  <si>
    <t>강원특별자치도 양구군 동면 숨골로310번길 131</t>
  </si>
  <si>
    <t>033-482-9800</t>
  </si>
  <si>
    <t>https://www.ymunhak.or.kr:51472/</t>
  </si>
  <si>
    <t>강원특별자치도 양구군 양구읍 파로호로869번길 101</t>
  </si>
  <si>
    <t>033-671-2878</t>
  </si>
  <si>
    <t>https://unhee01.modoo.at/</t>
  </si>
  <si>
    <t>강원특별자치도 양양군 양양읍 남문5길 9</t>
  </si>
  <si>
    <t>033-670-2114</t>
  </si>
  <si>
    <t>강원특별자치도 양양군 현남면 개매길 215-33</t>
  </si>
  <si>
    <t>033-342-2330</t>
  </si>
  <si>
    <t>https://www.hsg.go.kr/tour.web</t>
  </si>
  <si>
    <t>https://korean.visitkorea.or.kr/detail/ms_detail.do?cotid=f805230e-5cf3-4c9e-93b3-a2689edaa6a2</t>
  </si>
  <si>
    <t>여행 &gt; 관광,명소 &gt; 관광단지</t>
  </si>
  <si>
    <t>강원특별자치도 정선군 여량면 여량6길 17</t>
  </si>
  <si>
    <t>010-9609-2827</t>
  </si>
  <si>
    <t>033-670-2397</t>
  </si>
  <si>
    <t>0507-1403-2004</t>
  </si>
  <si>
    <t>https://www.instagram.com/aliveheart_sokcho/</t>
  </si>
  <si>
    <t>강원특별자치도 속초시 원암학사평길 88</t>
  </si>
  <si>
    <t>033-633-2004</t>
  </si>
  <si>
    <t>033-260-2000</t>
  </si>
  <si>
    <t>https://www.elysian.co.kr/</t>
  </si>
  <si>
    <t>스포츠,레저 &gt; 골프 &gt; 골프장</t>
  </si>
  <si>
    <t>강원특별자치도 춘천시 남산면 북한강변길 688</t>
  </si>
  <si>
    <t>스포츠,레저 &gt; 스포츠시설 &gt; 눈썰매장</t>
  </si>
  <si>
    <t>033-260-2858</t>
  </si>
  <si>
    <t>033-260-2568</t>
  </si>
  <si>
    <t>033-461-4081</t>
  </si>
  <si>
    <t>강원특별자치도 인제군 북면 만해로 154</t>
  </si>
  <si>
    <t>여행 &gt; 관광,명소 &gt; 연못</t>
  </si>
  <si>
    <t>033-532-1010</t>
  </si>
  <si>
    <t>https://www.pencilmuseum.co.kr/</t>
  </si>
  <si>
    <t>강원특별자치도 동해시 발한로 183-6</t>
  </si>
  <si>
    <t>http://yeongrang-lake.co.kr/</t>
  </si>
  <si>
    <t>여행 &gt; 관광,명소 &gt; 호수</t>
  </si>
  <si>
    <t>033-639-2144</t>
  </si>
  <si>
    <t>https://www.yw.go.kr/tour/index.do#firstPage</t>
  </si>
  <si>
    <t>033-372-6871</t>
  </si>
  <si>
    <t>033-375-8986</t>
  </si>
  <si>
    <t>강원특별자치도 영월군 영월읍 청령포로 126-3</t>
  </si>
  <si>
    <t>033-374-4215</t>
  </si>
  <si>
    <t>여행 &gt; 관광,명소 &gt; 문화유적 &gt; 릉,묘,총</t>
  </si>
  <si>
    <t>강원특별자치도 영월군 영월읍 단종로 190</t>
  </si>
  <si>
    <t>0507-1312-5627</t>
  </si>
  <si>
    <t>https://0333721119.modoo.at/</t>
  </si>
  <si>
    <t>스포츠,레저 &gt; 행글라이딩,패러글라이딩</t>
  </si>
  <si>
    <t>강원특별자치도 영월군 영월읍 제방안길 54</t>
  </si>
  <si>
    <t>033-372-1119</t>
  </si>
  <si>
    <t>033-670-2442</t>
  </si>
  <si>
    <t>https://www.yangyang.go.kr/gw/osm</t>
  </si>
  <si>
    <t>강원특별자치도 양양군 손양면 학포길 33</t>
  </si>
  <si>
    <t>033-672-2883</t>
  </si>
  <si>
    <t>강원특별자치도 양양군 서면 약수길 45</t>
  </si>
  <si>
    <t>033-660-3301</t>
  </si>
  <si>
    <t>https://www.gn.go.kr/museum/index.do</t>
  </si>
  <si>
    <t>강원특별자치도 강릉시 율곡로3139번길 24</t>
  </si>
  <si>
    <t>033-636-2082</t>
  </si>
  <si>
    <t>https://wonderbeach.kr/VRAdventure</t>
  </si>
  <si>
    <t>강원특별자치도 고성군 죽왕면 봉수대길 10-52</t>
  </si>
  <si>
    <t>033-631-2120</t>
  </si>
  <si>
    <t>https://www.wanggok.kr:457/</t>
  </si>
  <si>
    <t>033-639-2362</t>
  </si>
  <si>
    <t>033-370-2140</t>
  </si>
  <si>
    <t>강원특별자치도 영월군 무릉도원면 도원운학로 13-39</t>
  </si>
  <si>
    <t>033-462-5031</t>
  </si>
  <si>
    <t>https://www.foresttrip.go.kr/indvz/main.do?hmpgId=0102</t>
  </si>
  <si>
    <t>강원특별자치도 인제군 북면 연화동길 7</t>
  </si>
  <si>
    <t>033-433-1259</t>
  </si>
  <si>
    <t>033-763-2343</t>
  </si>
  <si>
    <t>문화,예술 &gt; 종교 &gt; 천주교 &gt; 성당</t>
  </si>
  <si>
    <t>강원특별자치도 원주시 신림면 구학산로 1857</t>
  </si>
  <si>
    <t>033-553-8584</t>
  </si>
  <si>
    <t>강원특별자치도 태백시 태백로 283-29</t>
  </si>
  <si>
    <t>033-463-0044</t>
  </si>
  <si>
    <t>033-440-2508</t>
  </si>
  <si>
    <t>http://www.vws.or.kr/</t>
  </si>
  <si>
    <t>강원특별자치도 화천군 간동면 죽엽산길 81-68</t>
  </si>
  <si>
    <t>033-339-7000</t>
  </si>
  <si>
    <t>https://wjssm.kr/</t>
  </si>
  <si>
    <t>강원특별자치도 평창군 진부면 오대산로 176</t>
  </si>
  <si>
    <t>033-332-6417</t>
  </si>
  <si>
    <t>http://woljeongsa.org/?skipintro=1</t>
  </si>
  <si>
    <t>1544-8833</t>
  </si>
  <si>
    <t>https://www.wellihillipark.com/</t>
  </si>
  <si>
    <t>여행 &gt; 숙박 &gt; 콘도,리조트</t>
  </si>
  <si>
    <t>강원특별자치도 횡성군 둔내면 고원로 451</t>
  </si>
  <si>
    <t>033-340-5986</t>
  </si>
  <si>
    <t>강원특별자치도 횡성군 서원면 경강로유현1길 50</t>
  </si>
  <si>
    <t>강원특별자치도 고성군 거진읍 화진포길 280</t>
  </si>
  <si>
    <t>033-330-2700, 033-335-9669</t>
  </si>
  <si>
    <t>http://www.hyoseok.net/</t>
  </si>
  <si>
    <t>강원특별자치도 평창군 봉평면 효석문학길 73-25</t>
  </si>
  <si>
    <t>033-330-2700</t>
  </si>
  <si>
    <t>강원특별자치도 양양군 현남면 인구항길 12</t>
  </si>
  <si>
    <t>033-461-0141</t>
  </si>
  <si>
    <t>http://www.inje-themepark.com/</t>
  </si>
  <si>
    <t>강원특별자치도 인제군 인제읍 비봉로44번길 81</t>
  </si>
  <si>
    <t>033-463-4081</t>
  </si>
  <si>
    <t>http://www.inama.co.kr/</t>
  </si>
  <si>
    <t>강원특별자치도 인제군 북면 예술인촌길 66-12</t>
  </si>
  <si>
    <t>1644-3366</t>
  </si>
  <si>
    <t>http://www.speedium.co.kr</t>
  </si>
  <si>
    <t>강원특별자치도 인제군 기린면 상하답로 130</t>
  </si>
  <si>
    <t>경기 김포시 장릉로 79</t>
  </si>
  <si>
    <t>031-984-2897</t>
  </si>
  <si>
    <t>033-372-3088</t>
  </si>
  <si>
    <t>http://www.ywmuseum.com/museum/index.do?museum_no=8</t>
  </si>
  <si>
    <t>033-570-3412</t>
  </si>
  <si>
    <t>0507-1326-9411</t>
  </si>
  <si>
    <t>https://museumhaslla.com/ypark_main#ypark1</t>
  </si>
  <si>
    <t>강원특별자치도 영월군 주천면 송학주천로 1467-9</t>
  </si>
  <si>
    <t>033-372-9411</t>
  </si>
  <si>
    <t>033-641-9444</t>
  </si>
  <si>
    <t>https://searoad.gtdc.or.kr/</t>
  </si>
  <si>
    <t>033-563-8787</t>
  </si>
  <si>
    <t>https://www.railtrip.co.kr/homepage/jeongseon/</t>
  </si>
  <si>
    <t>강원특별자치도 정선군 여량면 노추산로 745</t>
  </si>
  <si>
    <t>0507-1417-5949</t>
  </si>
  <si>
    <t>https://www.instagram.com/zoo_jeongseon/</t>
  </si>
  <si>
    <t>강원특별자치도 정선군 화암면 소금강로 1019</t>
  </si>
  <si>
    <t>033-562-8834</t>
  </si>
  <si>
    <t>http://www.hwpasture.com/</t>
  </si>
  <si>
    <t>강원특별자치도 정선군 정선읍 오반동길 470</t>
  </si>
  <si>
    <t>033-560-3435</t>
  </si>
  <si>
    <t>강원특별자치도 정선군 정선읍 애산로 37</t>
  </si>
  <si>
    <t>033-560-3023</t>
  </si>
  <si>
    <t>033-591-2469</t>
  </si>
  <si>
    <t>http://www.jungamsa.com/</t>
  </si>
  <si>
    <t>강원특별자치도 정선군 고한읍 함백산로 1410</t>
  </si>
  <si>
    <t>033-260-8300</t>
  </si>
  <si>
    <t>강원특별자치도 춘천시 남산면 햇골길 80</t>
  </si>
  <si>
    <t>033-818-1929</t>
  </si>
  <si>
    <t>http://www.apollostar.kr/</t>
  </si>
  <si>
    <t>강원특별자치도 화천군 사내면 천문대길 431</t>
  </si>
  <si>
    <t>033-480-7204</t>
  </si>
  <si>
    <t>강원특별자치도 양구군 해안면 해안서화로 47-6</t>
  </si>
  <si>
    <t>033-480-7253</t>
  </si>
  <si>
    <t>033-570-3670</t>
  </si>
  <si>
    <t>강원특별자치도 삼척시 죽서루길 37</t>
  </si>
  <si>
    <t>033-570-3721</t>
  </si>
  <si>
    <t>강원특별자치도 삼척시 미로면 준경길 333-360</t>
  </si>
  <si>
    <t>033-243-7177</t>
  </si>
  <si>
    <t>http://www.mullegil.org/</t>
  </si>
  <si>
    <t>강원특별자치도 춘천시 스포츠타운길223번길 95</t>
  </si>
  <si>
    <t>033-435-6546</t>
  </si>
  <si>
    <t>강원특별자치도 홍천군 내촌면 동창로 282</t>
  </si>
  <si>
    <t>033-539-3630</t>
  </si>
  <si>
    <t>강원특별자치도 동해시 동굴로 50</t>
  </si>
  <si>
    <t>033-582-8070</t>
  </si>
  <si>
    <t>강원특별자치도 태백시 동태백로 402</t>
  </si>
  <si>
    <t>033-455-7072</t>
  </si>
  <si>
    <t>https://www.cwg.go.kr/tour/contents.do?key=1629</t>
  </si>
  <si>
    <t>033-452-1941</t>
  </si>
  <si>
    <t>0507-1376-6401</t>
  </si>
  <si>
    <t>https://www.cwg.go.kr/tour/index.do</t>
  </si>
  <si>
    <t>070-7374-6401</t>
  </si>
  <si>
    <t>0507-1431-2225</t>
  </si>
  <si>
    <t>https://www.cwg.go.kr/tour/contents.do?key=1478</t>
  </si>
  <si>
    <t>https://www.cwg.go.kr/tour/selectTourCntntsWebView.do?tourNo=428&amp;key=572&amp;ctgry=10</t>
  </si>
  <si>
    <t>교통,수송 &gt; 도로시설 &gt; 교량,다리</t>
  </si>
  <si>
    <t>033-631-8722</t>
  </si>
  <si>
    <t>https://www.gwgs.go.kr/tour/sub01_0503.do</t>
  </si>
  <si>
    <t>강원특별자치도 고성군 토성면 동해대로 5110</t>
  </si>
  <si>
    <t>033-372-1240</t>
  </si>
  <si>
    <t>033-374-1317</t>
  </si>
  <si>
    <t>http://chungchoho.co.kr/</t>
  </si>
  <si>
    <t>033-343-9707</t>
  </si>
  <si>
    <t>https://www.foresttrip.go.kr/indvz/main.do?hmpgId=0106</t>
  </si>
  <si>
    <t>강원특별자치도 횡성군 둔내면 청태산로 610</t>
  </si>
  <si>
    <t>033-244-1095</t>
  </si>
  <si>
    <t>http://www.cheongpyeongsa.co.kr/</t>
  </si>
  <si>
    <t>강원특별자치도 춘천시 북산면 오봉산길 580</t>
  </si>
  <si>
    <t>033-575-4605</t>
  </si>
  <si>
    <t>033-539-3737</t>
  </si>
  <si>
    <t>http://www.chuamautocamping.or.kr/</t>
  </si>
  <si>
    <t>http://www.dh.go.kr/tour/</t>
  </si>
  <si>
    <t>033-240-1791</t>
  </si>
  <si>
    <t>http://anitowncampgrounds.com/</t>
  </si>
  <si>
    <t>033-250-5403</t>
  </si>
  <si>
    <t>https://samaksancablecar.com/home/index.php</t>
  </si>
  <si>
    <t>강원특별자치도 춘천시 스포츠타운길 245</t>
  </si>
  <si>
    <t>1588-4888</t>
  </si>
  <si>
    <t>033-740-9900</t>
  </si>
  <si>
    <t>https://www.knps.or.kr/front/portal/visit/visitCourseMain.do?parkId=121300&amp;menuNo=7020101</t>
  </si>
  <si>
    <t>여행 &gt; 관광,명소 &gt; 국립공원</t>
  </si>
  <si>
    <t>033-762-8288</t>
  </si>
  <si>
    <t>https://foresttrip.go.kr/indvz/main.do?hmpgId=ID02030024</t>
  </si>
  <si>
    <t>강원특별자치도 원주시 판부면 휴양림길 66</t>
  </si>
  <si>
    <t>033-834-5911</t>
  </si>
  <si>
    <t>https://wfv.koica.go.kr/</t>
  </si>
  <si>
    <t>강원특별자치도 영월군 주천면 다래골길 53</t>
  </si>
  <si>
    <t>033-251-9600</t>
  </si>
  <si>
    <t>http://www.물길로.org</t>
  </si>
  <si>
    <t>033-560-3462</t>
  </si>
  <si>
    <t>http://time.jsimc.or.kr/</t>
  </si>
  <si>
    <t>033-372-1520</t>
  </si>
  <si>
    <t>강원특별자치도 영월군 북면 밤재로 351</t>
  </si>
  <si>
    <t>033-340-2415</t>
  </si>
  <si>
    <t>https://korean.visitkorea.or.kr/detail/rem_detail.do?cotid=0794e4d5-f06c-4280-b747-f7de0ff24648</t>
  </si>
  <si>
    <t>강원특별자치도 횡성군 둔내면 경강로 6013</t>
  </si>
  <si>
    <t>횡성군</t>
    <phoneticPr fontId="1" type="noConversion"/>
  </si>
  <si>
    <t>033-550-0000</t>
  </si>
  <si>
    <t>https://www.knps.or.kr/front/portal/visit/visitCourseMain.do?parkId=122200&amp;menuNo=8000275</t>
  </si>
  <si>
    <t>033-552-7730</t>
  </si>
  <si>
    <t>https://www.taebaek.go.kr/coalmuseum/index.do</t>
  </si>
  <si>
    <t>강원특별자치도 태백시 천제단길 195</t>
  </si>
  <si>
    <t>033-552-7720</t>
  </si>
  <si>
    <t>033-554-3905</t>
  </si>
  <si>
    <t>강원특별자치도 태백시 소도길 9-11</t>
  </si>
  <si>
    <t>0507-1475-6363</t>
  </si>
  <si>
    <t>http://terracrab.com/</t>
  </si>
  <si>
    <t>강원특별자치도 속초시 학사평2길 14</t>
  </si>
  <si>
    <t>033-636-6363</t>
  </si>
  <si>
    <t>033-480-7381</t>
  </si>
  <si>
    <t>033-440-2518</t>
  </si>
  <si>
    <t>강원특별자치도 화천군 간동면 배터길 38</t>
  </si>
  <si>
    <t>033-430-4281</t>
  </si>
  <si>
    <t>강원특별자치도 홍천군 서면 한치골길 1122-46</t>
  </si>
  <si>
    <t>033-434-0813</t>
  </si>
  <si>
    <t>0507-1359-5561</t>
  </si>
  <si>
    <t>033-373-0995</t>
  </si>
  <si>
    <t>033-335-7282</t>
  </si>
  <si>
    <t>http://millbridge.co.kr/</t>
  </si>
  <si>
    <t>강원특별자치도 평창군 진부면 방아다리로 1011-26</t>
  </si>
  <si>
    <t>강원특별자치도 화천군 화천읍 비수구미길 145-145</t>
  </si>
  <si>
    <t>033-440-4533</t>
  </si>
  <si>
    <t>양양군</t>
    <phoneticPr fontId="1" type="noConversion"/>
  </si>
  <si>
    <t>여행 &gt; 관광,명소 &gt; 저수지</t>
  </si>
  <si>
    <t>033-342-0035</t>
  </si>
  <si>
    <t>https://www.hsg.go.kr/tour/contents.do?key=1363</t>
  </si>
  <si>
    <t>강원특별자치도 횡성군 서원면 경강로유현1길 30</t>
  </si>
  <si>
    <t>속초시</t>
    <phoneticPr fontId="1" type="noConversion"/>
  </si>
  <si>
    <t>033-637-5082</t>
  </si>
  <si>
    <t>강원특별자치도 속초시 엑스포로 75</t>
  </si>
  <si>
    <t>1899-9483</t>
  </si>
  <si>
    <t>033-633-5083</t>
  </si>
  <si>
    <t>https://www.pinodia.com</t>
  </si>
  <si>
    <t>033-764-3007</t>
  </si>
  <si>
    <t>https://www.foresttrip.go.kr/indvz/main.do?hmpgId=ID04030001</t>
  </si>
  <si>
    <t>강원특별자치도 원주시 신림면 소야1길 72</t>
  </si>
  <si>
    <t>033-764-9971</t>
  </si>
  <si>
    <t>033-670-2516</t>
  </si>
  <si>
    <t>강원특별자치도 양양군 현북면 조준길 99</t>
  </si>
  <si>
    <t>033-461-0056</t>
  </si>
  <si>
    <t>www.foresttrip.go.kr/indvz</t>
  </si>
  <si>
    <t>강원특별자치도 인제군 인제읍 하추로 686</t>
  </si>
  <si>
    <t>https://www.paleozoicgp.com/</t>
  </si>
  <si>
    <t>033-463-5155</t>
  </si>
  <si>
    <t>https://dmzecopeace.com/</t>
  </si>
  <si>
    <t>강원특별자치도 인제군 서화면 금강로 1630</t>
  </si>
  <si>
    <t>033-463-4082</t>
  </si>
  <si>
    <t>http://한국시집박물관.org/</t>
  </si>
  <si>
    <t>강원특별자치도 인제군 북면 만해로 136</t>
  </si>
  <si>
    <t>033-480-7267</t>
  </si>
  <si>
    <t>강원특별자치도 양구군 양구읍 한반도섬길 76</t>
  </si>
  <si>
    <t>033-372-0020</t>
  </si>
  <si>
    <t>http://www.younghero.kr/default/</t>
  </si>
  <si>
    <t>강원특별자치도 영월군 한반도면 안새내길 63-33</t>
  </si>
  <si>
    <t>033-430-4488</t>
  </si>
  <si>
    <t>https://www.hongcheon.go.kr/tour/contents.do?key=1827</t>
  </si>
  <si>
    <t>강원특별자치도 홍천군 서면 한서로 667</t>
  </si>
  <si>
    <t>033-530-2043</t>
  </si>
  <si>
    <t>033-530-2478</t>
  </si>
  <si>
    <t>0507-1402-4739</t>
  </si>
  <si>
    <t>https://www.hanjipark.com/</t>
  </si>
  <si>
    <t>강원특별자치도 원주시 한지공원길 151</t>
  </si>
  <si>
    <t>033-734-4739</t>
  </si>
  <si>
    <t>0507-1337-9915</t>
  </si>
  <si>
    <t>https://blog.naver.com/olegs13</t>
  </si>
  <si>
    <t>강원특별자치도 양구군 해안면 펀치볼로 1085</t>
  </si>
  <si>
    <t>033-481-9918</t>
  </si>
  <si>
    <t>033-638-8475</t>
  </si>
  <si>
    <t>https://happyowlhouse.modoo.at/?link=f19ee7ji</t>
  </si>
  <si>
    <t>강원특별자치도 속초시 바람꽃마을길 118</t>
  </si>
  <si>
    <t>스포츠,레저 &gt; 수영,수상 &gt; 수영장 &gt; 어린이수영장</t>
  </si>
  <si>
    <t>033-640-4798</t>
  </si>
  <si>
    <t>https://www.gn.go.kr/tour/prog/lod/Sights/S02/sub02_03_01/view.do?cid=27</t>
  </si>
  <si>
    <t>강원특별자치도 강릉시 난설헌로193번길 1-29</t>
  </si>
  <si>
    <t>강원특별자치도 강릉시 난설헌로193번길 1-15</t>
  </si>
  <si>
    <t>033-640-4466</t>
  </si>
  <si>
    <t>033-530-2802</t>
  </si>
  <si>
    <t>033-430-2498</t>
  </si>
  <si>
    <t>https://www.hongcheon.go.kr/tour/contents.do?key=1879</t>
  </si>
  <si>
    <t>강원특별자치도 홍천군 북방면 굴지강변로 322</t>
  </si>
  <si>
    <t>033-430-2777</t>
  </si>
  <si>
    <t>https://www.hongcheon.go.kr/mugunghwa</t>
  </si>
  <si>
    <t>033-430-2774</t>
  </si>
  <si>
    <t>033-430-4380</t>
  </si>
  <si>
    <t>강원특별자치도 홍천군 홍천읍 희망로 55</t>
  </si>
  <si>
    <t>033-430-2428</t>
  </si>
  <si>
    <t>https://www.hongcheon.go.kr/museum/</t>
  </si>
  <si>
    <t>강원특별자치도 홍천군 홍천읍 장전평로 18</t>
  </si>
  <si>
    <t>033-430-2836</t>
  </si>
  <si>
    <t>https://www.hongcheon.go.kr/sciencecenter/index.do</t>
  </si>
  <si>
    <t>강원특별자치도 홍천군 홍천읍 생명과학관길 78</t>
  </si>
  <si>
    <t>033-560-3410</t>
  </si>
  <si>
    <t>033-560-3415</t>
  </si>
  <si>
    <t>https://www.jsimc.or.kr/layout/basic/page/page1/page05.html</t>
  </si>
  <si>
    <t>강원특별자치도 정선군 화암면 소금강로 971</t>
  </si>
  <si>
    <t>화천군</t>
    <phoneticPr fontId="1" type="noConversion"/>
  </si>
  <si>
    <t xml:space="preserve"> 033-550-2081</t>
  </si>
  <si>
    <t>강원특별자치도 태백시 황지연못길 12</t>
  </si>
  <si>
    <t>033-560-3453</t>
  </si>
  <si>
    <t>https://www.jsimc.or.kr/layout/basic/page/page1/page12.html</t>
  </si>
  <si>
    <t>강원특별자치도 정선군 정선읍 가리왕산로 570-6</t>
  </si>
  <si>
    <t>033-342-5503</t>
  </si>
  <si>
    <t>http://luge.hsg.go.kr/kor/main/index.html</t>
  </si>
  <si>
    <t>강원특별자치도 횡성군 우천면 전재로 407-6</t>
  </si>
  <si>
    <t>033-340-5885</t>
  </si>
  <si>
    <t>https://www.hsg.go.kr/hshanwoo/index.do</t>
  </si>
  <si>
    <t>강원특별자치도 횡성군 횡성읍 문예로 41</t>
  </si>
  <si>
    <t>033-343-3432</t>
  </si>
  <si>
    <t>https://www.hsg.go.kr/tour/contents.do?key=1361</t>
  </si>
  <si>
    <t>이슈 &gt; 이벤트 &gt; 페스티벌</t>
  </si>
  <si>
    <t>033-340-2803</t>
  </si>
  <si>
    <t>0507-1376-8521</t>
  </si>
  <si>
    <t>https://www.instagram.com/hsculturecenter/</t>
  </si>
  <si>
    <t>강원특별자치도 횡성군 우천면 정금서길 6</t>
  </si>
  <si>
    <t>033-336-8841</t>
  </si>
  <si>
    <t>강원특별자치도 평창군 봉평면 효석문학길 54</t>
  </si>
  <si>
    <t>033-335-9669</t>
  </si>
  <si>
    <t>033-671-0093</t>
  </si>
  <si>
    <t>http://huhuam.org/</t>
  </si>
  <si>
    <t>강원특별자치도 양양군 현남면 광진2길 3-16</t>
  </si>
  <si>
    <t>실내구분</t>
    <phoneticPr fontId="1" type="noConversion"/>
  </si>
  <si>
    <t>지역</t>
    <phoneticPr fontId="1" type="noConversion"/>
  </si>
  <si>
    <t>도로명주소</t>
    <phoneticPr fontId="1" type="noConversion"/>
  </si>
  <si>
    <t>강원특별자치도 원주시 부론면 흥호리 972-2</t>
  </si>
  <si>
    <t>강원특별자치도 양양군 현남면 광진리 1</t>
  </si>
  <si>
    <t>강원특별자치도 평창군 봉평면 원길리 262-6</t>
  </si>
  <si>
    <t>강원특별자치도 평창군 봉평면 창동리 575-8</t>
  </si>
  <si>
    <t>강원특별자치도 횡성군 우천면 정금리 1296</t>
  </si>
  <si>
    <t>강원특별자치도 횡성군 갑천면 구방리 산 164</t>
  </si>
  <si>
    <t>강원특별자치도 횡성군 횡성읍 읍하리 283</t>
  </si>
  <si>
    <t>강원특별자치도 횡성군 우천면 오원리 308</t>
  </si>
  <si>
    <t>강원특별자치도 정선군 정선읍 회동리 170</t>
  </si>
  <si>
    <t>강원특별자치도 태백시 황지동 623</t>
  </si>
  <si>
    <t>강원특별자치도 화천군 간동면 구만리 1313-3</t>
  </si>
  <si>
    <t>강원특별자치도 정선군 화암면 화암리 514-1</t>
  </si>
  <si>
    <t>강원특별자치도 정선군 화암면 화암리 산 213-1</t>
  </si>
  <si>
    <t>강원특별자치도 홍천군 내면 광원리 686-4</t>
  </si>
  <si>
    <t>강원특별자치도 홍천군 홍천읍 연봉리 100-1</t>
  </si>
  <si>
    <t>강원특별자치도 홍천군 홍천읍 연봉리 363-3</t>
  </si>
  <si>
    <t>강원특별자치도 홍천군 홍천읍 희망리 149-2</t>
  </si>
  <si>
    <t>강원특별자치도 홍천군 북방면 능평리 산 57</t>
  </si>
  <si>
    <t>강원특별자치도 홍천군 북방면 장항리 200-1</t>
  </si>
  <si>
    <t>강원특별자치도 동해시 삼화동</t>
  </si>
  <si>
    <t>강원특별자치도 강릉시 초당동 390</t>
  </si>
  <si>
    <t>강원특별자치도 강릉시 초당동 477</t>
  </si>
  <si>
    <t>강원특별자치도 원주시 행구동 1029</t>
  </si>
  <si>
    <t>강원특별자치도 원주시 행구동 1026</t>
  </si>
  <si>
    <t>강원특별자치도 속초시 노학동 1000-461</t>
  </si>
  <si>
    <t>강원특별자치도 양구군 해안면 오유리 133</t>
  </si>
  <si>
    <t>강원특별자치도 삼척시 원덕읍 갈남리 301</t>
  </si>
  <si>
    <t>강원특별자치도 정선군 북평면 북평리</t>
  </si>
  <si>
    <t>강원특별자치도 원주시 무실동 16</t>
  </si>
  <si>
    <t>강원특별자치도 동해시 천곡동 45-1</t>
  </si>
  <si>
    <t>강원특별자치도 홍천군 서면 모곡리 387</t>
  </si>
  <si>
    <t>강원특별자치도 영월군 한반도면 신천리 593-1</t>
  </si>
  <si>
    <t>강원특별자치도 양구군 양구읍 고대리 647-1</t>
  </si>
  <si>
    <t>강원특별자치도 인제군 북면 용대리 1099-15</t>
  </si>
  <si>
    <t>강원특별자치도 인제군 서화면 서화리 830</t>
  </si>
  <si>
    <t>강원특별자치도 태백시 창죽동 산 1-1</t>
  </si>
  <si>
    <t>강원특별자치도 철원군 동송읍 오덕리 582-1</t>
  </si>
  <si>
    <t>강원특별자치도 인제군 인제읍 하추리 산 64</t>
  </si>
  <si>
    <t>강원특별자치도 양양군 현북면 하광정리 58-1</t>
  </si>
  <si>
    <t>강원특별자치도 양양군 현북면 하광정리 5-1</t>
  </si>
  <si>
    <t>강원특별자치도 원주시 신림면 황둔리 919</t>
  </si>
  <si>
    <t>강원특별자치도 속초시 조양동 1544-1</t>
  </si>
  <si>
    <t>강원특별자치도 속초시 조양동 1545-1</t>
  </si>
  <si>
    <t>강원특별자치도 횡성군 서원면 유현리 1097</t>
  </si>
  <si>
    <t>강원특별자치도 양양군 현남면 광진리 95-1</t>
  </si>
  <si>
    <t>강원특별자치도 화천군 화천읍 동촌리 2905-2</t>
  </si>
  <si>
    <t>강원특별자치도 평창군 진부면 척천리 489</t>
  </si>
  <si>
    <t>강원특별자치도 평창군 봉평면 무이리 58</t>
  </si>
  <si>
    <t>강원특별자치도 영월군 남면 연당리 662-2</t>
  </si>
  <si>
    <t>강원특별자치도 홍천군 서면 어유포리 272-14</t>
  </si>
  <si>
    <t>강원특별자치도 화천군 간동면 구만리 1177-3</t>
  </si>
  <si>
    <t>강원특별자치도 화천군 하남면 위라리</t>
  </si>
  <si>
    <t>강원특별자치도 양구군 양구읍 하리 570-1</t>
  </si>
  <si>
    <t>강원특별자치도 속초시 노학동 1073-51</t>
  </si>
  <si>
    <t>강원특별자치도 태백시 소도동 21-1</t>
  </si>
  <si>
    <t>강원특별자치도 태백시 소도동 166-2</t>
  </si>
  <si>
    <t>강원특별자치도 태백시 혈동 산 36-3</t>
  </si>
  <si>
    <t>강원특별자치도 횡성군 둔내면 태기리 산 1-1</t>
  </si>
  <si>
    <t>강원특별자치도 영월군 북면 마차리 786-4</t>
  </si>
  <si>
    <t>강원특별자치도 정선군 신동읍 조동리 499-11</t>
  </si>
  <si>
    <t>강원특별자치도 춘천시 송암동 684</t>
  </si>
  <si>
    <t>강원특별자치도 영월군 주천면 도천리 75</t>
  </si>
  <si>
    <t>강원특별자치도 원주시 판부면 금대리 산 100</t>
  </si>
  <si>
    <t>강원특별자치도 횡성군 강림면 부곡리 872</t>
  </si>
  <si>
    <t>강원특별자치도 춘천시 삼천동 801</t>
  </si>
  <si>
    <t>강원특별자치도 동해시 추암동 산 69</t>
  </si>
  <si>
    <t>강원특별자치도 동해시 추암동 1</t>
  </si>
  <si>
    <t>강원특별자치도 삼척시 근덕면 초곡리 산 1</t>
  </si>
  <si>
    <t>강원특별자치도 춘천시 북산면 청평리 669-2</t>
  </si>
  <si>
    <t>강원특별자치도 횡성군 둔내면 삽교리 산 1-4</t>
  </si>
  <si>
    <t>강원특별자치도 속초시 금호동 482-276</t>
  </si>
  <si>
    <t>강원특별자치도 영월군 남면 광천리 산 68</t>
  </si>
  <si>
    <t>강원특별자치도 속초시 도문동 산 151</t>
  </si>
  <si>
    <t>강원특별자치도 고성군 토성면 청간리 93</t>
  </si>
  <si>
    <t>강원특별자치도 철원군 갈말읍 상사리 산 38-3</t>
  </si>
  <si>
    <t>강원특별자치도 철원군 갈말읍 상사리 522-11</t>
  </si>
  <si>
    <t>강원특별자치도 철원군 갈말읍 군탄리 산 78-2</t>
  </si>
  <si>
    <t>강원특별자치도 철원군 철원읍 사요리 366-1</t>
  </si>
  <si>
    <t>강원특별자치도 철원군 동송읍 장흥리 10-2</t>
  </si>
  <si>
    <t>강원특별자치도 태백시 철암동 403-156</t>
  </si>
  <si>
    <t>강원특별자치도 동해시 천곡동 1003</t>
  </si>
  <si>
    <t>강원특별자치도 홍천군 내촌면 물걸리 306-1</t>
  </si>
  <si>
    <t>강원특별자치도 철원군 동송읍 장흥리 725</t>
  </si>
  <si>
    <t>강원특별자치도 춘천시 삼천동 468-2</t>
  </si>
  <si>
    <t>강원특별자치도 삼척시 미로면 활기리 산 149</t>
  </si>
  <si>
    <t>강원특별자치도 삼척시 성내동 8-2</t>
  </si>
  <si>
    <t>강원특별자치도 양양군 현남면 인구리</t>
  </si>
  <si>
    <t>강원특별자치도 양구군 해안면 후리 642</t>
  </si>
  <si>
    <t>강원특별자치도 화천군 사내면 광덕리 산 273-105</t>
  </si>
  <si>
    <t>강원특별자치도 춘천시 남산면 서천리 412</t>
  </si>
  <si>
    <t>강원특별자치도 정선군 고한읍 고한리 2</t>
  </si>
  <si>
    <t>강원특별자치도 정선군 정선읍 애산리 560</t>
  </si>
  <si>
    <t>강원특별자치도 정선군 정선읍 애산리 113-5</t>
  </si>
  <si>
    <t>강원특별자치도 정선군 화암면 화암리 451-1</t>
  </si>
  <si>
    <t>강원특별자치도 정선군 여량면 구절리 290-4</t>
  </si>
  <si>
    <t>강원특별자치도 강릉시 강동면 심곡리</t>
  </si>
  <si>
    <t>강원특별자치도 영월군 주천면 주천리 1376-36</t>
  </si>
  <si>
    <t>강원특별자치도 삼척시 근덕면 장호리 417</t>
  </si>
  <si>
    <t>강원특별자치도 삼척시 근덕면 장호리 1-13</t>
  </si>
  <si>
    <t>강원특별자치도 영월군 영월읍 영흥리 1089</t>
  </si>
  <si>
    <t>경기 김포시 풍무동 666-3</t>
  </si>
  <si>
    <t>강원특별자치도 인제군 기린면 북리 1500</t>
  </si>
  <si>
    <t>강원특별자치도 인제군 인제읍 상동리 415-1</t>
  </si>
  <si>
    <t>강원특별자치도 인제군 북면 한계리 1191-12</t>
  </si>
  <si>
    <t>강원특별자치도 인제군 인제읍 남북리 815</t>
  </si>
  <si>
    <t>강원특별자치도 양양군 현남면 인구리 630-2</t>
  </si>
  <si>
    <t>강원특별자치도 평창군 봉평면 창동리 544-3</t>
  </si>
  <si>
    <t>강원특별자치도 삼척시 증산동 1</t>
  </si>
  <si>
    <t>강원특별자치도 고성군 거진읍 화포리 530-1</t>
  </si>
  <si>
    <t>강원특별자치도 횡성군 서원면 유현리 1122-2</t>
  </si>
  <si>
    <t>강원특별자치도 횡성군 둔내면 두원리 204</t>
  </si>
  <si>
    <t>강원특별자치도 평창군 진부면 동산리</t>
  </si>
  <si>
    <t>강원특별자치도 평창군 진부면 동산리 17-5</t>
  </si>
  <si>
    <t>강원특별자치도 화천군 간동면 오음리 108</t>
  </si>
  <si>
    <t>강원특별자치도 인제군 인제읍 원대리 산 75-22</t>
  </si>
  <si>
    <t>강원특별자치도 춘천시 사북면 고성리</t>
  </si>
  <si>
    <t>강원특별자치도 태백시 화전동 산 47-69</t>
  </si>
  <si>
    <t>강원특별자치도 원주시 신림면 용암리 719-2</t>
  </si>
  <si>
    <t>강원특별자치도 홍천군 내촌면 광암리 147-4</t>
  </si>
  <si>
    <t>강원특별자치도 인제군 북면 용대리 산 262-1</t>
  </si>
  <si>
    <t>강원특별자치도 영월군 무릉도원면 무릉리 산 139</t>
  </si>
  <si>
    <t>강원특별자치도 영월군 무릉도원면 무릉리 1423</t>
  </si>
  <si>
    <t>강원특별자치도 속초시 대포동 585-5</t>
  </si>
  <si>
    <t>강원특별자치도 고성군 죽왕면 오봉리 394</t>
  </si>
  <si>
    <t>강원특별자치도 고성군 죽왕면 오호리 68-5</t>
  </si>
  <si>
    <t>강원특별자치도 강릉시 죽헌동 177-4</t>
  </si>
  <si>
    <t>강원특별자치도 양양군 서면 오색리 산 1-25</t>
  </si>
  <si>
    <t>강원특별자치도 양양군 서면 오색리 산 1-20</t>
  </si>
  <si>
    <t>강원특별자치도 양양군 손양면 오산리 51</t>
  </si>
  <si>
    <t>강원특별자치도 영월군 영월읍 하송리 26</t>
  </si>
  <si>
    <t>강원특별자치도 영월군 영월읍 영흥리 1090-1</t>
  </si>
  <si>
    <t>강원특별자치도 영월군 영월읍 방절리 245-11</t>
  </si>
  <si>
    <t>강원특별자치도 영월군 김삿갓면 진별리 산 262-1</t>
  </si>
  <si>
    <t>강원특별자치도 속초시 장사동 산 313-1</t>
  </si>
  <si>
    <t>강원특별자치도 동해시 발한동 240-20</t>
  </si>
  <si>
    <t>부산 북구 덕천동 763</t>
  </si>
  <si>
    <t>강원특별자치도 인제군 북면 용대리 1119-12</t>
  </si>
  <si>
    <t>강원특별자치도 춘천시 남산면 백양리 29-1</t>
  </si>
  <si>
    <t>강원특별자치도 속초시 노학동 1069-2</t>
  </si>
  <si>
    <t>강원특별자치도 양양군 현북면 어성전리</t>
  </si>
  <si>
    <t>강원특별자치도 정선군 여량면 여량리 212-6</t>
  </si>
  <si>
    <t>강원특별자치도 횡성군 갑천면 병지방리 513-2</t>
  </si>
  <si>
    <t>강원특별자치도 횡성군 갑천면 전촌리 산 1</t>
  </si>
  <si>
    <t>강원특별자치도 양양군 현남면 전포매리 122-3</t>
  </si>
  <si>
    <t>강원특별자치도 양양군 양양읍 남문리 57</t>
  </si>
  <si>
    <t>강원특별자치도 양구군 양구읍 동수리 100-1</t>
  </si>
  <si>
    <t>강원특별자치도 양구군 동면 원당리 185-5</t>
  </si>
  <si>
    <t>강원특별자치도 양구군 해안면 후리 622</t>
  </si>
  <si>
    <t>강원특별자치도 양구군 양구읍 하리 510</t>
  </si>
  <si>
    <t>강원특별자치도 양구군 방산면 장평리 344</t>
  </si>
  <si>
    <t>강원특별자치도 평창군 대관령면 수하리 240-19</t>
  </si>
  <si>
    <t>강원특별자치도 홍천군 화촌면 풍천리 산 53-2</t>
  </si>
  <si>
    <t>강원특별자치도 횡성군 안흥면 안흥리 1063</t>
  </si>
  <si>
    <t>강원특별자치도 고성군 토성면 아야진리</t>
  </si>
  <si>
    <t>강원특별자치도 속초시 청호동 550-14</t>
  </si>
  <si>
    <t>강원특별자치도 정선군 정선읍 북실리 579-7</t>
  </si>
  <si>
    <t>강원특별자치도 강릉시 초당동 505</t>
  </si>
  <si>
    <t>강원특별자치도 강릉시 주문진읍 주문리</t>
  </si>
  <si>
    <t>강원특별자치도 인제군 북면 용대리</t>
  </si>
  <si>
    <t>강원특별자치도 철원군 갈말읍 군탄리</t>
  </si>
  <si>
    <t>강원특별자치도 홍천군 영귀미면 덕치리 614</t>
  </si>
  <si>
    <t>강원특별자치도 홍천군 영귀미면 덕치리 9</t>
  </si>
  <si>
    <t>강원특별자치도 삼척시 원덕읍 임원리 산 323-4</t>
  </si>
  <si>
    <t>강원특별자치도 양양군 서면 송천리 178</t>
  </si>
  <si>
    <t>강원특별자치도 고성군 죽왕면 오봉리 9-34</t>
  </si>
  <si>
    <t>강원특별자치도 고성군 죽왕면 오봉리 9-38</t>
  </si>
  <si>
    <t>강원특별자치도 양양군 양양읍 월리 506-5</t>
  </si>
  <si>
    <t>강원특별자치도 철원군 동송읍 장흥리</t>
  </si>
  <si>
    <t>강원특별자치도 속초시 조양동 1464-7</t>
  </si>
  <si>
    <t>강원특별자치도 속초시 중앙동 482-271</t>
  </si>
  <si>
    <t>강원특별자치도 속초시 노학동 736-1</t>
  </si>
  <si>
    <t>강원특별자치도 속초시 영랑동 1-7</t>
  </si>
  <si>
    <t>강원특별자치도 속초시 중앙동 471-4</t>
  </si>
  <si>
    <t>강원특별자치도 철원군 철원읍 사요리 368</t>
  </si>
  <si>
    <t>강원특별자치도 철원군 철원읍 사요리 산 4</t>
  </si>
  <si>
    <t>강원특별자치도 철원군 철원읍 사요리</t>
  </si>
  <si>
    <t>강원특별자치도 인제군 인제읍 남북리 산 14-1</t>
  </si>
  <si>
    <t>강원특별자치도 인제군 남면 남전리 산 226-2</t>
  </si>
  <si>
    <t>강원특별자치도 인제군 인제읍 남북리 산 94-1</t>
  </si>
  <si>
    <t>강원특별자치도 춘천시 동면 월곡리 산 2-7</t>
  </si>
  <si>
    <t>강원특별자치도 춘천시 근화동 8-1</t>
  </si>
  <si>
    <t>강원특별자치도 고성군 간성읍 장신리 462</t>
  </si>
  <si>
    <t>강원특별자치도 정선군 화암면 몰운리 산 109-1</t>
  </si>
  <si>
    <t>강원특별자치도 원주시 호저면 산현리 117-7</t>
  </si>
  <si>
    <t>강원특별자치도 속초시 대포동 178-9</t>
  </si>
  <si>
    <t>강원특별자치도 속초시 노학동 1000-396</t>
  </si>
  <si>
    <t>강원특별자치도 양양군 서면 오색리</t>
  </si>
  <si>
    <t>강원특별자치도 영월군 영월읍 방절리 769-4</t>
  </si>
  <si>
    <t>강원특별자치도 속초시 교동 668-57</t>
  </si>
  <si>
    <t>강원특별자치도 양양군 현북면 중광정리 508</t>
  </si>
  <si>
    <t>강원특별자치도 고성군 죽왕면 오호리 산 24-1</t>
  </si>
  <si>
    <t>강원특별자치도 속초시 도문동 195</t>
  </si>
  <si>
    <t>강원특별자치도 정선군 고한읍 고한리 5-26</t>
  </si>
  <si>
    <t>강원특별자치도 삼척시 근덕면 장호리 3-9</t>
  </si>
  <si>
    <t>강원특별자치도 삼척시 근덕면 용화리 6</t>
  </si>
  <si>
    <t>강원특별자치도 삼척시 갈천동 14-22</t>
  </si>
  <si>
    <t>강원특별자치도 삼척시 정상동</t>
  </si>
  <si>
    <t>강원특별자치도 삼척시 정상동 440</t>
  </si>
  <si>
    <t>강원특별자치도 평창군 대관령면 횡계리 704-6</t>
  </si>
  <si>
    <t>강원특별자치도 춘천시 서면 덕두원리 산 164-23</t>
  </si>
  <si>
    <t>강원특별자치도 철원군 갈말읍 신철원리 산 26-1</t>
  </si>
  <si>
    <t>강원특별자치도 홍천군 내면 광원리 산 197-1</t>
  </si>
  <si>
    <t>강원특별자치도 화천군 화천읍 대이리 468</t>
  </si>
  <si>
    <t>강원특별자치도 화천군 화천읍 아리 244-11</t>
  </si>
  <si>
    <t>강원특별자치도 화천군 하남면 거례리 473-3</t>
  </si>
  <si>
    <t>강원특별자치도 화천군 화천읍 하리 100-7</t>
  </si>
  <si>
    <t>경기 평택시 팽성읍 안정리 33-4</t>
  </si>
  <si>
    <t>강원특별자치도 춘천시 송암동</t>
  </si>
  <si>
    <t>강원특별자치도 춘천시 서면 금산리 985-2</t>
  </si>
  <si>
    <t>강원특별자치도 평창군 봉평면 창동리 280-6</t>
  </si>
  <si>
    <t>강원특별자치도 고성군 죽왕면 오호리 68-10</t>
  </si>
  <si>
    <t>강원특별자치도 횡성군 갑천면 병지방리 540-4</t>
  </si>
  <si>
    <t>강원특별자치도 정선군 정선읍 귤암리 산 200-6</t>
  </si>
  <si>
    <t>강원특별자치도 영월군 영월읍 영흥리 154-3</t>
  </si>
  <si>
    <t>경남 밀양시 단장면 법흥리 92</t>
  </si>
  <si>
    <t>강원특별자치도 화천군 화천읍 하리 43-53</t>
  </si>
  <si>
    <t>강원특별자치도 고성군 거진읍 거진리 산 105</t>
  </si>
  <si>
    <t>강원특별자치도 인제군 북면 용대리 산 62</t>
  </si>
  <si>
    <t>강원특별자치도 홍천군 서면 마곡리 15-7</t>
  </si>
  <si>
    <t>강원특별자치도 인제군 기린면 방동리 산 282-1</t>
  </si>
  <si>
    <t>강원특별자치도 원주시 반곡동 154</t>
  </si>
  <si>
    <t>강원특별자치도 원주시 문막읍 반계리 1495-1</t>
  </si>
  <si>
    <t>강원특별자치도 양구군 양구읍 정림리 131-1</t>
  </si>
  <si>
    <t>강원특별자치도 원주시 단구동 1620-5</t>
  </si>
  <si>
    <t>강원특별자치도 정선군 남면 무릉리</t>
  </si>
  <si>
    <t>강원특별자치도 양양군 서면 미천리 산 5</t>
  </si>
  <si>
    <t>강원특별자치도 삼척시 도계읍 심포리</t>
  </si>
  <si>
    <t>강원특별자치도 홍천군 서석면 생곡리</t>
  </si>
  <si>
    <t>강원특별자치도 원주시 중앙동 276</t>
  </si>
  <si>
    <t>강원특별자치도 원주시 지정면 월송리 999-13</t>
  </si>
  <si>
    <t>강원특별자치도 정선군 화암면 북동리 107-1</t>
  </si>
  <si>
    <t>강원특별자치도 동해시 묵호진동 2-215</t>
  </si>
  <si>
    <t>강원특별자치도 동해시 삼화동 858-10</t>
  </si>
  <si>
    <t>강원특별자치도 태백시 황지동 산 178</t>
  </si>
  <si>
    <t>강원특별자치도 철원군 근남면 잠곡리</t>
  </si>
  <si>
    <t>강원특별자치도 태백시 창죽동 9-384</t>
  </si>
  <si>
    <t>강원특별자치도 동해시 망상동 393-100</t>
  </si>
  <si>
    <t>강원특별자치도 동해시 망상동 393-39</t>
  </si>
  <si>
    <t>경기 안산시 단원구 신길동</t>
  </si>
  <si>
    <t>강원특별자치도 인제군 상남면 미산리 213-15</t>
  </si>
  <si>
    <t>강원특별자치도 정선군 북평면 나전리 산 119</t>
  </si>
  <si>
    <t>강원특별자치도 영월군 영월읍 영흥리 893-1</t>
  </si>
  <si>
    <t>강원특별자치도 화천군 화천읍 대이리 산 1-1</t>
  </si>
  <si>
    <t>강원특별자치도 원주시 문막읍 동화리 산 154-1</t>
  </si>
  <si>
    <t>강원특별자치도 동해시 추암동 474-5</t>
  </si>
  <si>
    <t>강원특별자치도 동해시 삼화동 861</t>
  </si>
  <si>
    <t>강원특별자치도 영월군 남면 연당리 865-8</t>
  </si>
  <si>
    <t>강원특별자치도 화천군 하남면 원천리</t>
  </si>
  <si>
    <t>강원특별자치도 정선군 신동읍 운치리 산 239</t>
  </si>
  <si>
    <t>강원특별자치도 영월군 영월읍 삼옥리 234-6</t>
  </si>
  <si>
    <t>강원특별자치도 동해시 묵호진동 2-109</t>
  </si>
  <si>
    <t>강원특별자치도 삼척시 근덕면 덕산리 119-5</t>
  </si>
  <si>
    <t>강원특별자치도 동해시 망상동</t>
  </si>
  <si>
    <t>강원특별자치도 인제군 서화면 서흥리 산 170</t>
  </si>
  <si>
    <t>강원특별자치도 강릉시 성산면 어흘리 산 2-1</t>
  </si>
  <si>
    <t>강원특별자치도 평창군 대관령면 횡계리 산 1-134</t>
  </si>
  <si>
    <t>강원특별자치도 평창군 대관령면 횡계리 14-104</t>
  </si>
  <si>
    <t>강원특별자치도 고성군 죽왕면 문암진리</t>
  </si>
  <si>
    <t>강원특별자치도 동해시 묵호진동 18</t>
  </si>
  <si>
    <t>강원특별자치도 춘천시 남산면 방하리 197</t>
  </si>
  <si>
    <t>강원특별자치도 양양군 현남면 남애리 2-8</t>
  </si>
  <si>
    <t>강원특별자치도 양양군 양양읍 남문리 362</t>
  </si>
  <si>
    <t>강원특별자치도 삼척시 원덕읍 갈남리 307</t>
  </si>
  <si>
    <t>강원특별자치도 양양군 강현면 전진리 57-2</t>
  </si>
  <si>
    <t>강원특별자치도 정선군 북평면 북평리 244-5</t>
  </si>
  <si>
    <t>강원특별자치도 고성군 거진읍 화포리 606-1</t>
  </si>
  <si>
    <t>강원특별자치도 춘천시 신동면 증리 914-1</t>
  </si>
  <si>
    <t>강원특별자치도 영월군 김삿갓면 와석리 897-2</t>
  </si>
  <si>
    <t>강원특별자치도 영월군 김삿갓면 와석리 913-1</t>
  </si>
  <si>
    <t>강원특별자치도 고성군 토성면 신평리 772-2</t>
  </si>
  <si>
    <t>강원특별자치도 양구군 국토정중앙면 도촌리 98</t>
  </si>
  <si>
    <t>강원특별자치도 평창군 대관령면 횡계리 산 48</t>
  </si>
  <si>
    <t>강원특별자치도 횡성군 둔내면 삽교리 1767-10</t>
  </si>
  <si>
    <t>강원특별자치도 춘천시 신북읍 발산리 산 32-1</t>
  </si>
  <si>
    <t>강원특별자치도 춘천시 석사동 95-3</t>
  </si>
  <si>
    <t>강원특별자치도 속초시 노학동 735-3</t>
  </si>
  <si>
    <t>강원특별자치도 원주시 판부면 서곡리 1742-1</t>
  </si>
  <si>
    <t>강원특별자치도 원주시 태장동 1191-6</t>
  </si>
  <si>
    <t>강원특별자치도 정선군 정선읍 회동리 308-1</t>
  </si>
  <si>
    <t>강원특별자치도 태백시 동점동 498-123</t>
  </si>
  <si>
    <t>강원특별자치도 춘천시 남산면 강촌리 432</t>
  </si>
  <si>
    <t>강원특별자치도 홍천군 영귀미면 덕치리 5-3</t>
  </si>
  <si>
    <t>강원특별자치도 인제군 기린면 진동리</t>
  </si>
  <si>
    <t>강원특별자치도 화천군 사내면 용담리 843</t>
  </si>
  <si>
    <t>경남 창원시 진해구 현동 71</t>
  </si>
  <si>
    <t>강원특별자치도 고성군 현내면 명호리 2-23</t>
  </si>
  <si>
    <t>강원특별자치도 고성군 간성읍 어천리 786-5</t>
  </si>
  <si>
    <t>강원특별자치도 철원군 동송읍 장흥리 725-13</t>
  </si>
  <si>
    <t>강원특별자치도 태백시 동점동 295</t>
  </si>
  <si>
    <t>강원특별자치도 평창군 용평면 노동리 86</t>
  </si>
  <si>
    <t>강원특별자치도 강릉시 강문동 산 1</t>
  </si>
  <si>
    <t>강원특별자치도 고성군 거진읍 냉천리 36</t>
  </si>
  <si>
    <t>강원특별자치도 화천군 하남면 거례리 518-2</t>
  </si>
  <si>
    <t>강원특별자치도 춘천시 신동면 증리 323-2</t>
  </si>
  <si>
    <t>강원특별자치도 춘천시 남산면 서천리 226-5</t>
  </si>
  <si>
    <t>강원특별자치도 삼척시 신기면 신기리 375-4</t>
  </si>
  <si>
    <t>강원특별자치도 홍천군 북방면 성동리 1157-1</t>
  </si>
  <si>
    <t>강원특별자치도 춘천시 사농동 644-1</t>
  </si>
  <si>
    <t>강원특별자치도 원주시 일산동 54-3</t>
  </si>
  <si>
    <t>강원특별자치도 강릉시 안현동 227-6</t>
  </si>
  <si>
    <t>강원특별자치도 강릉시 견소동 287-90</t>
  </si>
  <si>
    <t>강원특별자치도 강릉시 성남동 50</t>
  </si>
  <si>
    <t>강원특별자치도 강릉시 임당동 106-1</t>
  </si>
  <si>
    <t>강원특별자치도 강릉시 왕산면 대기리 2214-207</t>
  </si>
  <si>
    <t>강원특별자치도 강릉시 송정동 산 1-4</t>
  </si>
  <si>
    <t>강원특별자치도 강릉시 구정면 구정리 산 147-1</t>
  </si>
  <si>
    <t>강원특별자치도 강릉시 운정동 431</t>
  </si>
  <si>
    <t>강원특별자치도 양양군 서면 갈천리 104</t>
  </si>
  <si>
    <t>강원특별자치도 원주시 지정면 간현리 870</t>
  </si>
  <si>
    <t>강원특별자치도 홍천군 두촌면 천현리 776</t>
  </si>
  <si>
    <t>강원특별자치도 홍천군 내촌면 와야리</t>
  </si>
  <si>
    <t>강원특별자치도 양구군 해안면 후리 621</t>
  </si>
  <si>
    <t>강원특별자치도 철원군 김화읍 생창리 85-7</t>
  </si>
  <si>
    <t>강원특별자치도 고성군 현내면 송현리 212</t>
  </si>
  <si>
    <t>강원특별자치도 강릉시 주문진읍 향호리 8-39</t>
  </si>
  <si>
    <t>강원특별자치도 태백시 장성동 31-2</t>
  </si>
  <si>
    <t>강원특별자치도 평창군 대관령면 횡계리 725</t>
  </si>
  <si>
    <t>주소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</si>
</sst>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0&quot;원&quot;"/>
  </numFmts>
  <fonts count="8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4"/>
      <color rgb="FFFFFFFF"/>
      <name val="맑은 고딕"/>
      <family val="3"/>
      <charset val="129"/>
    </font>
    <font>
      <i/>
      <sz val="10"/>
      <color rgb="FF595959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sz val="10"/>
      <name val="맑은 고딕"/>
      <family val="3"/>
      <charset val="129"/>
    </font>
    <font>
      <u/>
      <sz val="9"/>
      <color rgb="FF0563C1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2F5597"/>
        <bgColor rgb="FF2F5597"/>
      </patternFill>
    </fill>
    <fill>
      <patternFill patternType="solid">
        <fgColor rgb="FFFFFFFF"/>
        <bgColor rgb="FFFFFFFF"/>
      </patternFill>
    </fill>
    <fill>
      <patternFill patternType="solid">
        <fgColor rgb="FFF2F5F9"/>
        <bgColor rgb="FFF2F5F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4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center" vertical="center"/>
    </xf>
    <xf numFmtId="176" fontId="5" fillId="4" borderId="1" xfId="0" applyNumberFormat="1" applyFont="1" applyFill="1" applyBorder="1" applyAlignment="1">
      <alignment horizontal="right" vertical="center"/>
    </xf>
    <xf numFmtId="0" fontId="6" fillId="4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center" vertical="center"/>
    </xf>
    <xf numFmtId="176" fontId="5" fillId="5" borderId="1" xfId="0" applyNumberFormat="1" applyFont="1" applyFill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0" fontId="7" fillId="0" borderId="0" xfId="0" applyFont="1"/>
    <xf numFmtId="0" fontId="7" fillId="0" borderId="0" xfId="0" applyFont="1" applyBorder="1" applyAlignment="1">
      <alignment horizontal="center" vertical="top"/>
    </xf>
    <xf numFmtId="0" fontId="7" fillId="0" borderId="0" xfId="0" applyFont="1" applyBorder="1"/>
    <xf numFmtId="0" fontId="0" fillId="0" borderId="0" xfId="0" applyAlignment="1">
      <alignment vertical="center"/>
    </xf>
    <xf numFmtId="0" fontId="7" fillId="0" borderId="0" xfId="0" applyFont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0" fillId="0" borderId="0" xfId="0"/>
    <xf numFmtId="0" fontId="3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25"/>
  <sheetViews>
    <sheetView tabSelected="1" topLeftCell="B136" workbookViewId="0">
      <selection activeCell="H157" sqref="H157"/>
    </sheetView>
  </sheetViews>
  <sheetFormatPr defaultRowHeight="16.5" x14ac:dyDescent="0.3"/>
  <cols>
    <col min="1" max="1" width="12.75" customWidth="1"/>
    <col min="2" max="2" width="29.5" customWidth="1"/>
    <col min="3" max="4" width="10.125" customWidth="1"/>
    <col min="5" max="5" width="48.75" customWidth="1"/>
    <col min="6" max="6" width="7.375" customWidth="1"/>
    <col min="7" max="9" width="11.625" customWidth="1"/>
  </cols>
  <sheetData>
    <row r="1" spans="1:21" x14ac:dyDescent="0.3">
      <c r="A1" s="14" t="s">
        <v>785</v>
      </c>
      <c r="B1" s="10" t="s">
        <v>229</v>
      </c>
      <c r="C1" s="12" t="s">
        <v>230</v>
      </c>
      <c r="D1" s="12" t="s">
        <v>1617</v>
      </c>
      <c r="E1" s="12" t="s">
        <v>1618</v>
      </c>
      <c r="F1" s="11" t="s">
        <v>1616</v>
      </c>
      <c r="G1" s="12" t="s">
        <v>231</v>
      </c>
      <c r="H1" s="14" t="s">
        <v>782</v>
      </c>
      <c r="I1" s="14" t="s">
        <v>783</v>
      </c>
      <c r="J1" s="12" t="s">
        <v>232</v>
      </c>
      <c r="K1" s="12" t="s">
        <v>776</v>
      </c>
      <c r="L1" s="12" t="s">
        <v>777</v>
      </c>
      <c r="M1" s="12" t="s">
        <v>778</v>
      </c>
      <c r="N1" s="12" t="s">
        <v>779</v>
      </c>
      <c r="O1" s="12" t="s">
        <v>780</v>
      </c>
      <c r="P1" s="12" t="s">
        <v>233</v>
      </c>
      <c r="Q1" s="12" t="s">
        <v>234</v>
      </c>
      <c r="R1" s="12" t="s">
        <v>235</v>
      </c>
      <c r="S1" s="12" t="s">
        <v>236</v>
      </c>
      <c r="T1" s="14" t="s">
        <v>786</v>
      </c>
      <c r="U1" s="14" t="s">
        <v>787</v>
      </c>
    </row>
    <row r="2" spans="1:21" x14ac:dyDescent="0.3">
      <c r="A2">
        <v>581024580</v>
      </c>
      <c r="B2" t="s">
        <v>0</v>
      </c>
      <c r="C2" t="str">
        <f>VLOOKUP(A2,budget!$A$5:$I$337,3,FALSE)</f>
        <v>2018평창동계올림픽대회 및 동계패럴림픽대회기념관</v>
      </c>
      <c r="D2" t="str">
        <f>VLOOKUP(B2,api!$A$2:$R$334,2,FALSE)</f>
        <v>평창군</v>
      </c>
      <c r="E2" t="str">
        <f>VLOOKUP(B2,api!$A$2:$R$334,12,FALSE)</f>
        <v>강원특별자치도 평창군 대관령면 횡계리 725</v>
      </c>
      <c r="F2" t="s">
        <v>225</v>
      </c>
      <c r="G2" t="str">
        <f>VLOOKUP(A2,budget!$A$5:$I$337,4,FALSE)</f>
        <v>국공립 박물관/기념관</v>
      </c>
      <c r="H2" t="s">
        <v>792</v>
      </c>
      <c r="I2" t="s">
        <v>793</v>
      </c>
      <c r="J2" t="str">
        <f>VLOOKUP(A2,budget!$A$5:$I$337,5,FALSE)</f>
        <v>09:00 - 18:00 (월요일 휴무)</v>
      </c>
      <c r="K2" t="str">
        <f>VLOOKUP(B2,api!$A$2:$R$334,14,FALSE)</f>
        <v>033-330-5280</v>
      </c>
      <c r="L2" t="str">
        <f>VLOOKUP(B2,api!$A$2:$R$334,4,FALSE)</f>
        <v>https://pom2018.org/</v>
      </c>
      <c r="M2">
        <f>VLOOKUP(B2,api!$A$2:$R$334,5,FALSE)</f>
        <v>4.7</v>
      </c>
      <c r="N2">
        <f>VLOOKUP(B2,api!$A$2:$R$334,6,FALSE)</f>
        <v>27</v>
      </c>
      <c r="O2">
        <f>VLOOKUP(B2,api!$A$2:$R$334,7,FALSE)</f>
        <v>173</v>
      </c>
      <c r="P2">
        <f>VLOOKUP(A2,budget!$A$5:$I$337,6,FALSE)</f>
        <v>0</v>
      </c>
      <c r="Q2">
        <f>VLOOKUP(A2,budget!$A$5:$I$337,7,FALSE)</f>
        <v>3000</v>
      </c>
      <c r="R2" t="str">
        <f>VLOOKUP(A2,budget!$A$5:$I$337,8,FALSE)</f>
        <v>국공립 시설 무료 관람 또는 대인 기준 정가</v>
      </c>
      <c r="S2" t="str">
        <f>VLOOKUP(A2,budget!$A$5:$I$337,9,FALSE)</f>
        <v>http://place.map.kakao.com/581024580</v>
      </c>
      <c r="T2">
        <f>VLOOKUP(B2,api!$A$2:$R$334,17,FALSE)</f>
        <v>128.70672287306101</v>
      </c>
      <c r="U2">
        <f>VLOOKUP(B2,api!$A$2:$R$334,18,FALSE)</f>
        <v>37.666838901823802</v>
      </c>
    </row>
    <row r="3" spans="1:21" x14ac:dyDescent="0.3">
      <c r="A3">
        <v>25045748</v>
      </c>
      <c r="B3" t="s">
        <v>1</v>
      </c>
      <c r="C3" t="str">
        <f>VLOOKUP(A3,budget!$A$5:$I$337,3,FALSE)</f>
        <v>365세이프타운</v>
      </c>
      <c r="D3" t="str">
        <f>VLOOKUP(B3,api!$A$2:$R$334,2,FALSE)</f>
        <v>태백시</v>
      </c>
      <c r="E3" t="str">
        <f>VLOOKUP(B3,api!$A$2:$R$334,12,FALSE)</f>
        <v>강원특별자치도 태백시 장성동 31-2</v>
      </c>
      <c r="F3" t="s">
        <v>225</v>
      </c>
      <c r="G3" t="str">
        <f>VLOOKUP(A3,budget!$A$5:$I$337,4,FALSE)</f>
        <v>테마파크/민간관광지</v>
      </c>
      <c r="H3" t="s">
        <v>799</v>
      </c>
      <c r="I3" t="s">
        <v>800</v>
      </c>
      <c r="J3" t="str">
        <f>VLOOKUP(A3,budget!$A$5:$I$337,5,FALSE)</f>
        <v>09:00 - 18:00 (월요일 휴무)</v>
      </c>
      <c r="K3" t="str">
        <f>VLOOKUP(B3,api!$A$2:$R$334,14,FALSE)</f>
        <v>033-550-3101</v>
      </c>
      <c r="L3" t="str">
        <f>VLOOKUP(B3,api!$A$2:$R$334,4,FALSE)</f>
        <v>http://www.taebaek.go.kr/365safetown/index.do</v>
      </c>
      <c r="M3">
        <f>VLOOKUP(B3,api!$A$2:$R$334,5,FALSE)</f>
        <v>4.5</v>
      </c>
      <c r="N3">
        <f>VLOOKUP(B3,api!$A$2:$R$334,6,FALSE)</f>
        <v>37</v>
      </c>
      <c r="O3">
        <f>VLOOKUP(B3,api!$A$2:$R$334,7,FALSE)</f>
        <v>163</v>
      </c>
      <c r="P3">
        <f>VLOOKUP(A3,budget!$A$5:$I$337,6,FALSE)</f>
        <v>8000</v>
      </c>
      <c r="Q3">
        <f>VLOOKUP(A3,budget!$A$5:$I$337,7,FALSE)</f>
        <v>20000</v>
      </c>
      <c r="R3" t="str">
        <f>VLOOKUP(A3,budget!$A$5:$I$337,8,FALSE)</f>
        <v>대인 정상 입장료 기준 (할인혜택/통합권 따라 변동)</v>
      </c>
      <c r="S3" t="str">
        <f>VLOOKUP(A3,budget!$A$5:$I$337,9,FALSE)</f>
        <v>http://place.map.kakao.com/25045748</v>
      </c>
      <c r="T3">
        <f>VLOOKUP(B3,api!$A$2:$R$334,17,FALSE)</f>
        <v>129.024612519534</v>
      </c>
      <c r="U3">
        <f>VLOOKUP(B3,api!$A$2:$R$334,18,FALSE)</f>
        <v>37.100491001509603</v>
      </c>
    </row>
    <row r="4" spans="1:21" x14ac:dyDescent="0.3">
      <c r="A4">
        <v>1310990190</v>
      </c>
      <c r="B4" t="s">
        <v>2</v>
      </c>
      <c r="C4" t="str">
        <f>VLOOKUP(A4,budget!$A$5:$I$337,3,FALSE)</f>
        <v>BTS 버스정류장</v>
      </c>
      <c r="D4" t="str">
        <f>VLOOKUP(B4,api!$A$2:$R$334,2,FALSE)</f>
        <v>강릉시</v>
      </c>
      <c r="E4" t="str">
        <f>VLOOKUP(B4,api!$A$2:$R$334,12,FALSE)</f>
        <v>강원특별자치도 강릉시 주문진읍 향호리 8-39</v>
      </c>
      <c r="F4" t="s">
        <v>226</v>
      </c>
      <c r="G4" t="str">
        <f>VLOOKUP(A4,budget!$A$5:$I$337,4,FALSE)</f>
        <v>자연경관/자유관광지</v>
      </c>
      <c r="J4" t="str">
        <f>VLOOKUP(A4,budget!$A$5:$I$337,5,FALSE)</f>
        <v>상시 개방</v>
      </c>
      <c r="K4">
        <f>VLOOKUP(B4,api!$A$2:$R$334,14,FALSE)</f>
        <v>0</v>
      </c>
      <c r="L4" t="str">
        <f>VLOOKUP(B4,api!$A$2:$R$334,4,FALSE)</f>
        <v>https://www.gn.go.kr/tour/index.do</v>
      </c>
      <c r="M4">
        <f>VLOOKUP(B4,api!$A$2:$R$334,5,FALSE)</f>
        <v>4.3</v>
      </c>
      <c r="N4">
        <f>VLOOKUP(B4,api!$A$2:$R$334,6,FALSE)</f>
        <v>63</v>
      </c>
      <c r="O4">
        <f>VLOOKUP(B4,api!$A$2:$R$334,7,FALSE)</f>
        <v>113</v>
      </c>
      <c r="P4">
        <f>VLOOKUP(A4,budget!$A$5:$I$337,6,FALSE)</f>
        <v>0</v>
      </c>
      <c r="Q4">
        <f>VLOOKUP(A4,budget!$A$5:$I$337,7,FALSE)</f>
        <v>0</v>
      </c>
      <c r="R4" t="str">
        <f>VLOOKUP(A4,budget!$A$5:$I$337,8,FALSE)</f>
        <v>상시 무료 관람 (식음료 및 개인소모품비 제외)</v>
      </c>
      <c r="S4" t="str">
        <f>VLOOKUP(A4,budget!$A$5:$I$337,9,FALSE)</f>
        <v>http://place.map.kakao.com/1310990190</v>
      </c>
      <c r="T4">
        <f>VLOOKUP(B4,api!$A$2:$R$334,17,FALSE)</f>
        <v>128.817101815108</v>
      </c>
      <c r="U4">
        <f>VLOOKUP(B4,api!$A$2:$R$334,18,FALSE)</f>
        <v>37.912406616301197</v>
      </c>
    </row>
    <row r="5" spans="1:21" x14ac:dyDescent="0.3">
      <c r="A5">
        <v>23794385</v>
      </c>
      <c r="B5" t="s">
        <v>3</v>
      </c>
      <c r="C5" t="str">
        <f>VLOOKUP(A5,budget!$A$5:$I$337,3,FALSE)</f>
        <v>DMZ박물관</v>
      </c>
      <c r="D5" t="str">
        <f>VLOOKUP(B5,api!$A$2:$R$334,2,FALSE)</f>
        <v>고성군</v>
      </c>
      <c r="E5" t="str">
        <f>VLOOKUP(B5,api!$A$2:$R$334,12,FALSE)</f>
        <v>강원특별자치도 고성군 현내면 송현리 212</v>
      </c>
      <c r="F5" t="s">
        <v>225</v>
      </c>
      <c r="G5" t="str">
        <f>VLOOKUP(A5,budget!$A$5:$I$337,4,FALSE)</f>
        <v>문화/전람/동굴/전망시설</v>
      </c>
      <c r="H5" t="s">
        <v>792</v>
      </c>
      <c r="I5" t="s">
        <v>793</v>
      </c>
      <c r="J5" t="str">
        <f>VLOOKUP(A5,budget!$A$5:$I$337,5,FALSE)</f>
        <v>09:00 - 18:00 (입장마감 17:00, 월요일 휴무)</v>
      </c>
      <c r="K5" t="str">
        <f>VLOOKUP(B5,api!$A$2:$R$334,14,FALSE)</f>
        <v>033-681-0625</v>
      </c>
      <c r="L5" t="str">
        <f>VLOOKUP(B5,api!$A$2:$R$334,4,FALSE)</f>
        <v>https://www.dmzmuseum.com</v>
      </c>
      <c r="M5">
        <f>VLOOKUP(B5,api!$A$2:$R$334,5,FALSE)</f>
        <v>4.5</v>
      </c>
      <c r="N5">
        <f>VLOOKUP(B5,api!$A$2:$R$334,6,FALSE)</f>
        <v>56</v>
      </c>
      <c r="O5">
        <f>VLOOKUP(B5,api!$A$2:$R$334,7,FALSE)</f>
        <v>214</v>
      </c>
      <c r="P5">
        <f>VLOOKUP(A5,budget!$A$5:$I$337,6,FALSE)</f>
        <v>2000</v>
      </c>
      <c r="Q5">
        <f>VLOOKUP(A5,budget!$A$5:$I$337,7,FALSE)</f>
        <v>10000</v>
      </c>
      <c r="R5" t="str">
        <f>VLOOKUP(A5,budget!$A$5:$I$337,8,FALSE)</f>
        <v>대인 관람료 및 전망대/스카이워크 이용료 기준</v>
      </c>
      <c r="S5" t="str">
        <f>VLOOKUP(A5,budget!$A$5:$I$337,9,FALSE)</f>
        <v>http://place.map.kakao.com/23794385</v>
      </c>
      <c r="T5">
        <f>VLOOKUP(B5,api!$A$2:$R$334,17,FALSE)</f>
        <v>128.38256802397501</v>
      </c>
      <c r="U5">
        <f>VLOOKUP(B5,api!$A$2:$R$334,18,FALSE)</f>
        <v>38.576255597820101</v>
      </c>
    </row>
    <row r="6" spans="1:21" x14ac:dyDescent="0.3">
      <c r="A6">
        <v>1389012423</v>
      </c>
      <c r="B6" t="s">
        <v>4</v>
      </c>
      <c r="C6" t="str">
        <f>VLOOKUP(A6,budget!$A$5:$I$337,3,FALSE)</f>
        <v>철원DMZ생태평화공원</v>
      </c>
      <c r="D6" t="str">
        <f>VLOOKUP(B6,api!$A$2:$R$334,2,FALSE)</f>
        <v>철원군</v>
      </c>
      <c r="E6" t="str">
        <f>VLOOKUP(B6,api!$A$2:$R$334,12,FALSE)</f>
        <v>강원특별자치도 철원군 김화읍 생창리 85-7</v>
      </c>
      <c r="F6" t="s">
        <v>226</v>
      </c>
      <c r="G6" t="str">
        <f>VLOOKUP(A6,budget!$A$5:$I$337,4,FALSE)</f>
        <v>자연경관/자유관광지</v>
      </c>
      <c r="J6" t="str">
        <f>VLOOKUP(A6,budget!$A$5:$I$337,5,FALSE)</f>
        <v>24시간 연중무휴 (자유 방문)</v>
      </c>
      <c r="K6" t="str">
        <f>VLOOKUP(B6,api!$A$2:$R$334,14,FALSE)</f>
        <v>033-458-3633</v>
      </c>
      <c r="L6">
        <f>VLOOKUP(B6,api!$A$2:$R$334,4,FALSE)</f>
        <v>0</v>
      </c>
      <c r="M6">
        <f>VLOOKUP(B6,api!$A$2:$R$334,5,FALSE)</f>
        <v>4.3</v>
      </c>
      <c r="N6">
        <f>VLOOKUP(B6,api!$A$2:$R$334,6,FALSE)</f>
        <v>6</v>
      </c>
      <c r="O6">
        <f>VLOOKUP(B6,api!$A$2:$R$334,7,FALSE)</f>
        <v>21</v>
      </c>
      <c r="P6">
        <f>VLOOKUP(A6,budget!$A$5:$I$337,6,FALSE)</f>
        <v>0</v>
      </c>
      <c r="Q6">
        <f>VLOOKUP(A6,budget!$A$5:$I$337,7,FALSE)</f>
        <v>0</v>
      </c>
      <c r="R6" t="str">
        <f>VLOOKUP(A6,budget!$A$5:$I$337,8,FALSE)</f>
        <v>상시 무료 관람 (식음료 및 개인소모품비 제외)</v>
      </c>
      <c r="S6" t="str">
        <f>VLOOKUP(A6,budget!$A$5:$I$337,9,FALSE)</f>
        <v>http://place.map.kakao.com/1389012423</v>
      </c>
      <c r="T6">
        <f>VLOOKUP(B6,api!$A$2:$R$334,17,FALSE)</f>
        <v>127.451235463239</v>
      </c>
      <c r="U6">
        <f>VLOOKUP(B6,api!$A$2:$R$334,18,FALSE)</f>
        <v>38.281017343209399</v>
      </c>
    </row>
    <row r="7" spans="1:21" x14ac:dyDescent="0.3">
      <c r="A7">
        <v>8121115</v>
      </c>
      <c r="B7" t="s">
        <v>5</v>
      </c>
      <c r="C7" t="str">
        <f>VLOOKUP(A7,budget!$A$5:$I$337,3,FALSE)</f>
        <v>가령폭포</v>
      </c>
      <c r="D7" t="str">
        <f>VLOOKUP(B7,api!$A$2:$R$334,2,FALSE)</f>
        <v>홍천군</v>
      </c>
      <c r="E7" t="str">
        <f>VLOOKUP(B7,api!$A$2:$R$334,12,FALSE)</f>
        <v>강원특별자치도 홍천군 내촌면 와야리</v>
      </c>
      <c r="F7" t="s">
        <v>226</v>
      </c>
      <c r="G7" t="str">
        <f>VLOOKUP(A7,budget!$A$5:$I$337,4,FALSE)</f>
        <v>자연경관/자유관광지</v>
      </c>
      <c r="J7" t="str">
        <f>VLOOKUP(A7,budget!$A$5:$I$337,5,FALSE)</f>
        <v>24시간 연중무휴 (자유 방문)</v>
      </c>
      <c r="K7" t="str">
        <f>VLOOKUP(B7,api!$A$2:$R$334,14,FALSE)</f>
        <v>033-433-3003</v>
      </c>
      <c r="L7" t="str">
        <f>VLOOKUP(B7,api!$A$2:$R$334,4,FALSE)</f>
        <v>https://www.hongcheon.go.kr/</v>
      </c>
      <c r="M7">
        <f>VLOOKUP(B7,api!$A$2:$R$334,5,FALSE)</f>
        <v>5</v>
      </c>
      <c r="N7">
        <f>VLOOKUP(B7,api!$A$2:$R$334,6,FALSE)</f>
        <v>9</v>
      </c>
      <c r="O7">
        <f>VLOOKUP(B7,api!$A$2:$R$334,7,FALSE)</f>
        <v>27</v>
      </c>
      <c r="P7">
        <f>VLOOKUP(A7,budget!$A$5:$I$337,6,FALSE)</f>
        <v>0</v>
      </c>
      <c r="Q7">
        <f>VLOOKUP(A7,budget!$A$5:$I$337,7,FALSE)</f>
        <v>0</v>
      </c>
      <c r="R7" t="str">
        <f>VLOOKUP(A7,budget!$A$5:$I$337,8,FALSE)</f>
        <v>상시 무료 관람 (식음료 및 개인소모품비 제외)</v>
      </c>
      <c r="S7" t="str">
        <f>VLOOKUP(A7,budget!$A$5:$I$337,9,FALSE)</f>
        <v>http://place.map.kakao.com/8121115</v>
      </c>
      <c r="T7">
        <f>VLOOKUP(B7,api!$A$2:$R$334,17,FALSE)</f>
        <v>128.160573916083</v>
      </c>
      <c r="U7">
        <f>VLOOKUP(B7,api!$A$2:$R$334,18,FALSE)</f>
        <v>37.831650613863999</v>
      </c>
    </row>
    <row r="8" spans="1:21" x14ac:dyDescent="0.3">
      <c r="A8">
        <v>26916317</v>
      </c>
      <c r="B8" t="s">
        <v>6</v>
      </c>
      <c r="C8" t="str">
        <f>VLOOKUP(A8,budget!$A$5:$I$337,3,FALSE)</f>
        <v>가리산레포츠파크</v>
      </c>
      <c r="D8" t="str">
        <f>VLOOKUP(B8,api!$A$2:$R$334,2,FALSE)</f>
        <v>홍천군</v>
      </c>
      <c r="E8" t="str">
        <f>VLOOKUP(B8,api!$A$2:$R$334,12,FALSE)</f>
        <v>강원특별자치도 홍천군 두촌면 천현리 776</v>
      </c>
      <c r="F8" t="s">
        <v>226</v>
      </c>
      <c r="G8" t="str">
        <f>VLOOKUP(A8,budget!$A$5:$I$337,4,FALSE)</f>
        <v>자연경관/자유관광지</v>
      </c>
      <c r="J8" t="str">
        <f>VLOOKUP(A8,budget!$A$5:$I$337,5,FALSE)</f>
        <v>24시간 연중무휴 (자유 방문)</v>
      </c>
      <c r="K8" t="str">
        <f>VLOOKUP(B8,api!$A$2:$R$334,14,FALSE)</f>
        <v>070-8831-8138</v>
      </c>
      <c r="L8" t="str">
        <f>VLOOKUP(B8,api!$A$2:$R$334,4,FALSE)</f>
        <v>https://www.hongcheon.go.kr/tour/contents.do?key=1892</v>
      </c>
      <c r="M8">
        <f>VLOOKUP(B8,api!$A$2:$R$334,5,FALSE)</f>
        <v>0</v>
      </c>
      <c r="N8">
        <f>VLOOKUP(B8,api!$A$2:$R$334,6,FALSE)</f>
        <v>30</v>
      </c>
      <c r="O8">
        <f>VLOOKUP(B8,api!$A$2:$R$334,7,FALSE)</f>
        <v>86</v>
      </c>
      <c r="P8">
        <f>VLOOKUP(A8,budget!$A$5:$I$337,6,FALSE)</f>
        <v>0</v>
      </c>
      <c r="Q8">
        <f>VLOOKUP(A8,budget!$A$5:$I$337,7,FALSE)</f>
        <v>0</v>
      </c>
      <c r="R8" t="str">
        <f>VLOOKUP(A8,budget!$A$5:$I$337,8,FALSE)</f>
        <v>상시 무료 관람 (식음료 및 개인소모품비 제외)</v>
      </c>
      <c r="S8" t="str">
        <f>VLOOKUP(A8,budget!$A$5:$I$337,9,FALSE)</f>
        <v>http://place.map.kakao.com/26916317</v>
      </c>
      <c r="T8">
        <f>VLOOKUP(B8,api!$A$2:$R$334,17,FALSE)</f>
        <v>127.981152679652</v>
      </c>
      <c r="U8">
        <f>VLOOKUP(B8,api!$A$2:$R$334,18,FALSE)</f>
        <v>37.865637758478201</v>
      </c>
    </row>
    <row r="9" spans="1:21" x14ac:dyDescent="0.3">
      <c r="A9">
        <v>26979861</v>
      </c>
      <c r="B9" t="s">
        <v>7</v>
      </c>
      <c r="C9" t="str">
        <f>VLOOKUP(A9,budget!$A$5:$I$337,3,FALSE)</f>
        <v>강릉선교장</v>
      </c>
      <c r="D9" t="str">
        <f>VLOOKUP(B9,api!$A$2:$R$334,2,FALSE)</f>
        <v>강릉시</v>
      </c>
      <c r="E9" t="str">
        <f>VLOOKUP(B9,api!$A$2:$R$334,12,FALSE)</f>
        <v>강원특별자치도 강릉시 운정동 431</v>
      </c>
      <c r="F9" t="s">
        <v>226</v>
      </c>
      <c r="G9" t="str">
        <f>VLOOKUP(A9,budget!$A$5:$I$337,4,FALSE)</f>
        <v>자연경관/자유관광지</v>
      </c>
      <c r="J9" t="str">
        <f>VLOOKUP(A9,budget!$A$5:$I$337,5,FALSE)</f>
        <v>상시 개방</v>
      </c>
      <c r="K9" t="str">
        <f>VLOOKUP(B9,api!$A$2:$R$334,14,FALSE)</f>
        <v>033-646-3270</v>
      </c>
      <c r="L9" t="str">
        <f>VLOOKUP(B9,api!$A$2:$R$334,4,FALSE)</f>
        <v>https://knsgj.net/</v>
      </c>
      <c r="M9">
        <f>VLOOKUP(B9,api!$A$2:$R$334,5,FALSE)</f>
        <v>3.4</v>
      </c>
      <c r="N9">
        <f>VLOOKUP(B9,api!$A$2:$R$334,6,FALSE)</f>
        <v>102</v>
      </c>
      <c r="O9">
        <f>VLOOKUP(B9,api!$A$2:$R$334,7,FALSE)</f>
        <v>361</v>
      </c>
      <c r="P9">
        <f>VLOOKUP(A9,budget!$A$5:$I$337,6,FALSE)</f>
        <v>0</v>
      </c>
      <c r="Q9">
        <f>VLOOKUP(A9,budget!$A$5:$I$337,7,FALSE)</f>
        <v>0</v>
      </c>
      <c r="R9" t="str">
        <f>VLOOKUP(A9,budget!$A$5:$I$337,8,FALSE)</f>
        <v>상시 무료 관람 (식음료 및 개인소모품비 제외)</v>
      </c>
      <c r="S9" t="str">
        <f>VLOOKUP(A9,budget!$A$5:$I$337,9,FALSE)</f>
        <v>http://place.map.kakao.com/26979861</v>
      </c>
      <c r="T9">
        <f>VLOOKUP(B9,api!$A$2:$R$334,17,FALSE)</f>
        <v>128.88517424112601</v>
      </c>
      <c r="U9">
        <f>VLOOKUP(B9,api!$A$2:$R$334,18,FALSE)</f>
        <v>37.7866425660498</v>
      </c>
    </row>
    <row r="10" spans="1:21" x14ac:dyDescent="0.3">
      <c r="A10">
        <v>25856200</v>
      </c>
      <c r="B10" t="s">
        <v>8</v>
      </c>
      <c r="C10" t="str">
        <f>VLOOKUP(A10,budget!$A$5:$I$337,3,FALSE)</f>
        <v>강릉솔향수목원</v>
      </c>
      <c r="D10" t="str">
        <f>VLOOKUP(B10,api!$A$2:$R$334,2,FALSE)</f>
        <v>강릉시</v>
      </c>
      <c r="E10" t="str">
        <f>VLOOKUP(B10,api!$A$2:$R$334,12,FALSE)</f>
        <v>강원특별자치도 강릉시 구정면 구정리 산 147-1</v>
      </c>
      <c r="F10" t="s">
        <v>226</v>
      </c>
      <c r="G10" t="str">
        <f>VLOOKUP(A10,budget!$A$5:$I$337,4,FALSE)</f>
        <v>휴양림/수목원</v>
      </c>
      <c r="H10" t="s">
        <v>799</v>
      </c>
      <c r="I10" t="s">
        <v>800</v>
      </c>
      <c r="J10" t="str">
        <f>VLOOKUP(A10,budget!$A$5:$I$337,5,FALSE)</f>
        <v>09:00 - 18:00 (하절기) / 09:00 - 17:00 (동절기)</v>
      </c>
      <c r="K10" t="str">
        <f>VLOOKUP(B10,api!$A$2:$R$334,14,FALSE)</f>
        <v>033-660-2322</v>
      </c>
      <c r="L10" t="str">
        <f>VLOOKUP(B10,api!$A$2:$R$334,4,FALSE)</f>
        <v>http://www.gn.go.kr/solhyang/index.do</v>
      </c>
      <c r="M10">
        <f>VLOOKUP(B10,api!$A$2:$R$334,5,FALSE)</f>
        <v>4.7</v>
      </c>
      <c r="N10">
        <f>VLOOKUP(B10,api!$A$2:$R$334,6,FALSE)</f>
        <v>86</v>
      </c>
      <c r="O10">
        <f>VLOOKUP(B10,api!$A$2:$R$334,7,FALSE)</f>
        <v>254</v>
      </c>
      <c r="P10">
        <f>VLOOKUP(A10,budget!$A$5:$I$337,6,FALSE)</f>
        <v>1000</v>
      </c>
      <c r="Q10">
        <f>VLOOKUP(A10,budget!$A$5:$I$337,7,FALSE)</f>
        <v>5000</v>
      </c>
      <c r="R10" t="str">
        <f>VLOOKUP(A10,budget!$A$5:$I$337,8,FALSE)</f>
        <v>국공립/민간 휴양림 입장료 기준 (숙박/체험비 제외)</v>
      </c>
      <c r="S10" t="str">
        <f>VLOOKUP(A10,budget!$A$5:$I$337,9,FALSE)</f>
        <v>http://place.map.kakao.com/25856200</v>
      </c>
      <c r="T10">
        <f>VLOOKUP(B10,api!$A$2:$R$334,17,FALSE)</f>
        <v>128.861466745895</v>
      </c>
      <c r="U10">
        <f>VLOOKUP(B10,api!$A$2:$R$334,18,FALSE)</f>
        <v>37.697803175182599</v>
      </c>
    </row>
    <row r="11" spans="1:21" x14ac:dyDescent="0.3">
      <c r="A11">
        <v>7960891</v>
      </c>
      <c r="B11" t="s">
        <v>9</v>
      </c>
      <c r="C11" t="str">
        <f>VLOOKUP(A11,budget!$A$5:$I$337,3,FALSE)</f>
        <v>송정해변</v>
      </c>
      <c r="D11" t="str">
        <f>VLOOKUP(B11,api!$A$2:$R$334,2,FALSE)</f>
        <v>강릉시</v>
      </c>
      <c r="E11" t="str">
        <f>VLOOKUP(B11,api!$A$2:$R$334,12,FALSE)</f>
        <v>강원특별자치도 강릉시 송정동 산 1-4</v>
      </c>
      <c r="F11" t="s">
        <v>226</v>
      </c>
      <c r="G11" t="str">
        <f>VLOOKUP(A11,budget!$A$5:$I$337,4,FALSE)</f>
        <v>자연경관/자유관광지</v>
      </c>
      <c r="H11" t="s">
        <v>799</v>
      </c>
      <c r="I11" t="s">
        <v>800</v>
      </c>
      <c r="J11" t="str">
        <f>VLOOKUP(A11,budget!$A$5:$I$337,5,FALSE)</f>
        <v>24시간 연중무휴 (자유 방문)</v>
      </c>
      <c r="K11" t="str">
        <f>VLOOKUP(B11,api!$A$2:$R$334,14,FALSE)</f>
        <v>033-660-3887</v>
      </c>
      <c r="L11" t="str">
        <f>VLOOKUP(B11,api!$A$2:$R$334,4,FALSE)</f>
        <v>https://www.gn.go.kr/tour/prog/lod/Sights/S01/sub02_02_01/view.do?cid=437</v>
      </c>
      <c r="M11">
        <f>VLOOKUP(B11,api!$A$2:$R$334,5,FALSE)</f>
        <v>4.5</v>
      </c>
      <c r="N11">
        <f>VLOOKUP(B11,api!$A$2:$R$334,6,FALSE)</f>
        <v>99</v>
      </c>
      <c r="O11">
        <f>VLOOKUP(B11,api!$A$2:$R$334,7,FALSE)</f>
        <v>5</v>
      </c>
      <c r="P11">
        <f>VLOOKUP(A11,budget!$A$5:$I$337,6,FALSE)</f>
        <v>0</v>
      </c>
      <c r="Q11">
        <f>VLOOKUP(A11,budget!$A$5:$I$337,7,FALSE)</f>
        <v>0</v>
      </c>
      <c r="R11" t="str">
        <f>VLOOKUP(A11,budget!$A$5:$I$337,8,FALSE)</f>
        <v>상시 무료 관람 (식음료 및 개인소모품비 제외)</v>
      </c>
      <c r="S11" t="str">
        <f>VLOOKUP(A11,budget!$A$5:$I$337,9,FALSE)</f>
        <v>http://place.map.kakao.com/7960891</v>
      </c>
      <c r="T11">
        <f>VLOOKUP(B11,api!$A$2:$R$334,17,FALSE)</f>
        <v>128.937796163184</v>
      </c>
      <c r="U11">
        <f>VLOOKUP(B11,api!$A$2:$R$334,18,FALSE)</f>
        <v>37.779828659661803</v>
      </c>
    </row>
    <row r="12" spans="1:21" x14ac:dyDescent="0.3">
      <c r="A12">
        <v>937891746</v>
      </c>
      <c r="B12" t="s">
        <v>10</v>
      </c>
      <c r="C12" t="str">
        <f>VLOOKUP(A12,budget!$A$5:$I$337,3,FALSE)</f>
        <v>강릉안반데기관광농원</v>
      </c>
      <c r="D12" t="str">
        <f>VLOOKUP(B12,api!$A$2:$R$334,2,FALSE)</f>
        <v>강릉시</v>
      </c>
      <c r="E12" t="str">
        <f>VLOOKUP(B12,api!$A$2:$R$334,12,FALSE)</f>
        <v>강원특별자치도 강릉시 왕산면 대기리 2214-207</v>
      </c>
      <c r="F12" t="s">
        <v>226</v>
      </c>
      <c r="G12" t="str">
        <f>VLOOKUP(A12,budget!$A$5:$I$337,4,FALSE)</f>
        <v>자연경관/자유관광지</v>
      </c>
      <c r="H12" t="s">
        <v>799</v>
      </c>
      <c r="I12" t="s">
        <v>800</v>
      </c>
      <c r="J12" t="str">
        <f>VLOOKUP(A12,budget!$A$5:$I$337,5,FALSE)</f>
        <v>상시 개방</v>
      </c>
      <c r="K12" t="str">
        <f>VLOOKUP(B12,api!$A$2:$R$334,14,FALSE)</f>
        <v>033-644-8552</v>
      </c>
      <c r="L12" t="str">
        <f>VLOOKUP(B12,api!$A$2:$R$334,4,FALSE)</f>
        <v>https://blog.naver.com/sanai4744</v>
      </c>
      <c r="M12">
        <f>VLOOKUP(B12,api!$A$2:$R$334,5,FALSE)</f>
        <v>3.6</v>
      </c>
      <c r="N12">
        <f>VLOOKUP(B12,api!$A$2:$R$334,6,FALSE)</f>
        <v>9</v>
      </c>
      <c r="O12">
        <f>VLOOKUP(B12,api!$A$2:$R$334,7,FALSE)</f>
        <v>59</v>
      </c>
      <c r="P12">
        <f>VLOOKUP(A12,budget!$A$5:$I$337,6,FALSE)</f>
        <v>0</v>
      </c>
      <c r="Q12">
        <f>VLOOKUP(A12,budget!$A$5:$I$337,7,FALSE)</f>
        <v>0</v>
      </c>
      <c r="R12" t="str">
        <f>VLOOKUP(A12,budget!$A$5:$I$337,8,FALSE)</f>
        <v>상시 무료 관람 (식음료 및 개인소모품비 제외)</v>
      </c>
      <c r="S12" t="str">
        <f>VLOOKUP(A12,budget!$A$5:$I$337,9,FALSE)</f>
        <v>http://place.map.kakao.com/937891746</v>
      </c>
      <c r="T12">
        <f>VLOOKUP(B12,api!$A$2:$R$334,17,FALSE)</f>
        <v>128.74002538241899</v>
      </c>
      <c r="U12">
        <f>VLOOKUP(B12,api!$A$2:$R$334,18,FALSE)</f>
        <v>37.608741906130199</v>
      </c>
    </row>
    <row r="13" spans="1:21" x14ac:dyDescent="0.3">
      <c r="A13">
        <v>2058461010</v>
      </c>
      <c r="B13" t="s">
        <v>11</v>
      </c>
      <c r="C13" t="str">
        <f>VLOOKUP(A13,budget!$A$5:$I$337,3,FALSE)</f>
        <v>강릉월화거리</v>
      </c>
      <c r="D13" t="str">
        <f>VLOOKUP(B13,api!$A$2:$R$334,2,FALSE)</f>
        <v>강릉시</v>
      </c>
      <c r="E13" t="str">
        <f>VLOOKUP(B13,api!$A$2:$R$334,12,FALSE)</f>
        <v>강원특별자치도 강릉시 임당동 106-1</v>
      </c>
      <c r="F13" t="s">
        <v>226</v>
      </c>
      <c r="G13" t="str">
        <f>VLOOKUP(A13,budget!$A$5:$I$337,4,FALSE)</f>
        <v>자연경관/자유관광지</v>
      </c>
      <c r="H13" t="s">
        <v>799</v>
      </c>
      <c r="I13" t="s">
        <v>800</v>
      </c>
      <c r="J13" t="str">
        <f>VLOOKUP(A13,budget!$A$5:$I$337,5,FALSE)</f>
        <v>24시간 연중무휴 (자유 방문)</v>
      </c>
      <c r="K13">
        <f>VLOOKUP(B13,api!$A$2:$R$334,14,FALSE)</f>
        <v>0</v>
      </c>
      <c r="L13" t="str">
        <f>VLOOKUP(B13,api!$A$2:$R$334,4,FALSE)</f>
        <v>https://www.gn.go.kr/tour/prog/lod/Sights/S03/sub02_04_01/view.do?cid=256422</v>
      </c>
      <c r="M13">
        <f>VLOOKUP(B13,api!$A$2:$R$334,5,FALSE)</f>
        <v>3.9</v>
      </c>
      <c r="N13">
        <f>VLOOKUP(B13,api!$A$2:$R$334,6,FALSE)</f>
        <v>55</v>
      </c>
      <c r="O13">
        <f>VLOOKUP(B13,api!$A$2:$R$334,7,FALSE)</f>
        <v>219</v>
      </c>
      <c r="P13">
        <f>VLOOKUP(A13,budget!$A$5:$I$337,6,FALSE)</f>
        <v>0</v>
      </c>
      <c r="Q13">
        <f>VLOOKUP(A13,budget!$A$5:$I$337,7,FALSE)</f>
        <v>0</v>
      </c>
      <c r="R13" t="str">
        <f>VLOOKUP(A13,budget!$A$5:$I$337,8,FALSE)</f>
        <v>상시 무료 관람 (식음료 및 개인소모품비 제외)</v>
      </c>
      <c r="S13" t="str">
        <f>VLOOKUP(A13,budget!$A$5:$I$337,9,FALSE)</f>
        <v>http://place.map.kakao.com/2058461010</v>
      </c>
      <c r="T13">
        <f>VLOOKUP(B13,api!$A$2:$R$334,17,FALSE)</f>
        <v>128.897496501722</v>
      </c>
      <c r="U13">
        <f>VLOOKUP(B13,api!$A$2:$R$334,18,FALSE)</f>
        <v>37.755909823697998</v>
      </c>
    </row>
    <row r="14" spans="1:21" x14ac:dyDescent="0.3">
      <c r="A14">
        <v>18525909</v>
      </c>
      <c r="B14" t="s">
        <v>12</v>
      </c>
      <c r="C14" t="str">
        <f>VLOOKUP(A14,budget!$A$5:$I$337,3,FALSE)</f>
        <v>강릉중앙시장</v>
      </c>
      <c r="D14" t="str">
        <f>VLOOKUP(B14,api!$A$2:$R$334,2,FALSE)</f>
        <v>강릉시</v>
      </c>
      <c r="E14" t="str">
        <f>VLOOKUP(B14,api!$A$2:$R$334,12,FALSE)</f>
        <v>강원특별자치도 강릉시 성남동 50</v>
      </c>
      <c r="F14" t="s">
        <v>226</v>
      </c>
      <c r="G14" t="str">
        <f>VLOOKUP(A14,budget!$A$5:$I$337,4,FALSE)</f>
        <v>자연경관/자유관광지</v>
      </c>
      <c r="J14" t="str">
        <f>VLOOKUP(A14,budget!$A$5:$I$337,5,FALSE)</f>
        <v>24시간 연중무휴 (자유 방문)</v>
      </c>
      <c r="K14" t="str">
        <f>VLOOKUP(B14,api!$A$2:$R$334,14,FALSE)</f>
        <v>033-648-2285</v>
      </c>
      <c r="L14" t="str">
        <f>VLOOKUP(B14,api!$A$2:$R$334,4,FALSE)</f>
        <v>https://www.gn.go.kr/tour/index.do</v>
      </c>
      <c r="M14">
        <f>VLOOKUP(B14,api!$A$2:$R$334,5,FALSE)</f>
        <v>3.9</v>
      </c>
      <c r="N14">
        <f>VLOOKUP(B14,api!$A$2:$R$334,6,FALSE)</f>
        <v>577</v>
      </c>
      <c r="O14">
        <f>VLOOKUP(B14,api!$A$2:$R$334,7,FALSE)</f>
        <v>206</v>
      </c>
      <c r="P14">
        <f>VLOOKUP(A14,budget!$A$5:$I$337,6,FALSE)</f>
        <v>0</v>
      </c>
      <c r="Q14">
        <f>VLOOKUP(A14,budget!$A$5:$I$337,7,FALSE)</f>
        <v>0</v>
      </c>
      <c r="R14" t="str">
        <f>VLOOKUP(A14,budget!$A$5:$I$337,8,FALSE)</f>
        <v>상시 무료 관람 (식음료 및 개인소모품비 제외)</v>
      </c>
      <c r="S14" t="str">
        <f>VLOOKUP(A14,budget!$A$5:$I$337,9,FALSE)</f>
        <v>http://place.map.kakao.com/18525909</v>
      </c>
      <c r="T14">
        <f>VLOOKUP(B14,api!$A$2:$R$334,17,FALSE)</f>
        <v>128.898623790009</v>
      </c>
      <c r="U14">
        <f>VLOOKUP(B14,api!$A$2:$R$334,18,FALSE)</f>
        <v>37.754025117657797</v>
      </c>
    </row>
    <row r="15" spans="1:21" x14ac:dyDescent="0.3">
      <c r="A15">
        <v>14862993</v>
      </c>
      <c r="B15" t="s">
        <v>13</v>
      </c>
      <c r="C15" t="str">
        <f>VLOOKUP(A15,budget!$A$5:$I$337,3,FALSE)</f>
        <v>강릉카페거리</v>
      </c>
      <c r="D15" t="str">
        <f>VLOOKUP(B15,api!$A$2:$R$334,2,FALSE)</f>
        <v>강릉시</v>
      </c>
      <c r="E15" t="str">
        <f>VLOOKUP(B15,api!$A$2:$R$334,12,FALSE)</f>
        <v>강원특별자치도 강릉시 견소동 287-90</v>
      </c>
      <c r="F15" t="s">
        <v>226</v>
      </c>
      <c r="G15" t="str">
        <f>VLOOKUP(A15,budget!$A$5:$I$337,4,FALSE)</f>
        <v>자연경관/자유관광지</v>
      </c>
      <c r="H15" t="s">
        <v>799</v>
      </c>
      <c r="I15" t="s">
        <v>800</v>
      </c>
      <c r="J15" t="str">
        <f>VLOOKUP(A15,budget!$A$5:$I$337,5,FALSE)</f>
        <v>24시간 연중무휴 (자유 방문)</v>
      </c>
      <c r="K15">
        <f>VLOOKUP(B15,api!$A$2:$R$334,14,FALSE)</f>
        <v>0</v>
      </c>
      <c r="L15" t="str">
        <f>VLOOKUP(B15,api!$A$2:$R$334,4,FALSE)</f>
        <v>https://ggcoffeestreet.modoo.at/</v>
      </c>
      <c r="M15">
        <f>VLOOKUP(B15,api!$A$2:$R$334,5,FALSE)</f>
        <v>4</v>
      </c>
      <c r="N15">
        <f>VLOOKUP(B15,api!$A$2:$R$334,6,FALSE)</f>
        <v>94</v>
      </c>
      <c r="O15">
        <f>VLOOKUP(B15,api!$A$2:$R$334,7,FALSE)</f>
        <v>183</v>
      </c>
      <c r="P15">
        <f>VLOOKUP(A15,budget!$A$5:$I$337,6,FALSE)</f>
        <v>0</v>
      </c>
      <c r="Q15">
        <f>VLOOKUP(A15,budget!$A$5:$I$337,7,FALSE)</f>
        <v>0</v>
      </c>
      <c r="R15" t="str">
        <f>VLOOKUP(A15,budget!$A$5:$I$337,8,FALSE)</f>
        <v>상시 무료 관람 (식음료 및 개인소모품비 제외)</v>
      </c>
      <c r="S15" t="str">
        <f>VLOOKUP(A15,budget!$A$5:$I$337,9,FALSE)</f>
        <v>http://place.map.kakao.com/14862993</v>
      </c>
      <c r="T15">
        <f>VLOOKUP(B15,api!$A$2:$R$334,17,FALSE)</f>
        <v>128.94724160961701</v>
      </c>
      <c r="U15">
        <f>VLOOKUP(B15,api!$A$2:$R$334,18,FALSE)</f>
        <v>37.772653600019602</v>
      </c>
    </row>
    <row r="16" spans="1:21" x14ac:dyDescent="0.3">
      <c r="A16">
        <v>714254383</v>
      </c>
      <c r="B16" t="s">
        <v>14</v>
      </c>
      <c r="C16" t="str">
        <f>VLOOKUP(A16,budget!$A$5:$I$337,3,FALSE)</f>
        <v>강릉해중공원</v>
      </c>
      <c r="D16" t="str">
        <f>VLOOKUP(B16,api!$A$2:$R$334,2,FALSE)</f>
        <v>강릉시</v>
      </c>
      <c r="E16" t="str">
        <f>VLOOKUP(B16,api!$A$2:$R$334,12,FALSE)</f>
        <v>강원특별자치도 강릉시 안현동 227-6</v>
      </c>
      <c r="F16" t="s">
        <v>226</v>
      </c>
      <c r="G16" t="str">
        <f>VLOOKUP(A16,budget!$A$5:$I$337,4,FALSE)</f>
        <v>자연경관/자유관광지</v>
      </c>
      <c r="J16" t="str">
        <f>VLOOKUP(A16,budget!$A$5:$I$337,5,FALSE)</f>
        <v>24시간 연중무휴 (자유 방문)</v>
      </c>
      <c r="K16">
        <f>VLOOKUP(B16,api!$A$2:$R$334,14,FALSE)</f>
        <v>0</v>
      </c>
      <c r="L16" t="str">
        <f>VLOOKUP(B16,api!$A$2:$R$334,4,FALSE)</f>
        <v>https://www.gn.go.kr/tour/index.do</v>
      </c>
      <c r="M16">
        <f>VLOOKUP(B16,api!$A$2:$R$334,5,FALSE)</f>
        <v>4</v>
      </c>
      <c r="N16">
        <f>VLOOKUP(B16,api!$A$2:$R$334,6,FALSE)</f>
        <v>1</v>
      </c>
      <c r="O16">
        <f>VLOOKUP(B16,api!$A$2:$R$334,7,FALSE)</f>
        <v>0</v>
      </c>
      <c r="P16">
        <f>VLOOKUP(A16,budget!$A$5:$I$337,6,FALSE)</f>
        <v>0</v>
      </c>
      <c r="Q16">
        <f>VLOOKUP(A16,budget!$A$5:$I$337,7,FALSE)</f>
        <v>0</v>
      </c>
      <c r="R16" t="str">
        <f>VLOOKUP(A16,budget!$A$5:$I$337,8,FALSE)</f>
        <v>상시 무료 관람 (식음료 및 개인소모품비 제외)</v>
      </c>
      <c r="S16" t="str">
        <f>VLOOKUP(A16,budget!$A$5:$I$337,9,FALSE)</f>
        <v>http://place.map.kakao.com/714254383</v>
      </c>
      <c r="T16">
        <f>VLOOKUP(B16,api!$A$2:$R$334,17,FALSE)</f>
        <v>128.89738387634401</v>
      </c>
      <c r="U16">
        <f>VLOOKUP(B16,api!$A$2:$R$334,18,FALSE)</f>
        <v>37.813595012068198</v>
      </c>
    </row>
    <row r="17" spans="1:21" x14ac:dyDescent="0.3">
      <c r="A17">
        <v>8171435</v>
      </c>
      <c r="B17" t="s">
        <v>15</v>
      </c>
      <c r="C17" t="str">
        <f>VLOOKUP(A17,budget!$A$5:$I$337,3,FALSE)</f>
        <v>원주 강원감영</v>
      </c>
      <c r="D17" t="str">
        <f>VLOOKUP(B17,api!$A$2:$R$334,2,FALSE)</f>
        <v>원주시</v>
      </c>
      <c r="E17" t="str">
        <f>VLOOKUP(B17,api!$A$2:$R$334,12,FALSE)</f>
        <v>강원특별자치도 원주시 일산동 54-3</v>
      </c>
      <c r="F17" t="s">
        <v>226</v>
      </c>
      <c r="G17" t="str">
        <f>VLOOKUP(A17,budget!$A$5:$I$337,4,FALSE)</f>
        <v>자연경관/자유관광지</v>
      </c>
      <c r="J17" t="str">
        <f>VLOOKUP(A17,budget!$A$5:$I$337,5,FALSE)</f>
        <v>상시 개방</v>
      </c>
      <c r="K17" t="str">
        <f>VLOOKUP(B17,api!$A$2:$R$334,14,FALSE)</f>
        <v>033-747-2416</v>
      </c>
      <c r="L17" t="str">
        <f>VLOOKUP(B17,api!$A$2:$R$334,4,FALSE)</f>
        <v>http://gangwongamyoung500.com/</v>
      </c>
      <c r="M17">
        <f>VLOOKUP(B17,api!$A$2:$R$334,5,FALSE)</f>
        <v>4.4000000000000004</v>
      </c>
      <c r="N17">
        <f>VLOOKUP(B17,api!$A$2:$R$334,6,FALSE)</f>
        <v>62</v>
      </c>
      <c r="O17">
        <f>VLOOKUP(B17,api!$A$2:$R$334,7,FALSE)</f>
        <v>318</v>
      </c>
      <c r="P17">
        <f>VLOOKUP(A17,budget!$A$5:$I$337,6,FALSE)</f>
        <v>0</v>
      </c>
      <c r="Q17">
        <f>VLOOKUP(A17,budget!$A$5:$I$337,7,FALSE)</f>
        <v>0</v>
      </c>
      <c r="R17" t="str">
        <f>VLOOKUP(A17,budget!$A$5:$I$337,8,FALSE)</f>
        <v>상시 무료 관람 (식음료 및 개인소모품비 제외)</v>
      </c>
      <c r="S17" t="str">
        <f>VLOOKUP(A17,budget!$A$5:$I$337,9,FALSE)</f>
        <v>http://place.map.kakao.com/8171435</v>
      </c>
      <c r="T17">
        <f>VLOOKUP(B17,api!$A$2:$R$334,17,FALSE)</f>
        <v>127.950415153306</v>
      </c>
      <c r="U17">
        <f>VLOOKUP(B17,api!$A$2:$R$334,18,FALSE)</f>
        <v>37.347972513213598</v>
      </c>
    </row>
    <row r="18" spans="1:21" x14ac:dyDescent="0.3">
      <c r="A18">
        <v>11046971</v>
      </c>
      <c r="B18" t="s">
        <v>16</v>
      </c>
      <c r="C18" t="str">
        <f>VLOOKUP(A18,budget!$A$5:$I$337,3,FALSE)</f>
        <v>강원특별자치도립화목원</v>
      </c>
      <c r="D18" t="str">
        <f>VLOOKUP(B18,api!$A$2:$R$334,2,FALSE)</f>
        <v>춘천시</v>
      </c>
      <c r="E18" t="str">
        <f>VLOOKUP(B18,api!$A$2:$R$334,12,FALSE)</f>
        <v>강원특별자치도 춘천시 사농동 644-1</v>
      </c>
      <c r="F18" t="s">
        <v>226</v>
      </c>
      <c r="G18" t="str">
        <f>VLOOKUP(A18,budget!$A$5:$I$337,4,FALSE)</f>
        <v>자연경관/자유관광지</v>
      </c>
      <c r="H18" t="s">
        <v>799</v>
      </c>
      <c r="I18" t="s">
        <v>800</v>
      </c>
      <c r="J18" t="str">
        <f>VLOOKUP(A18,budget!$A$5:$I$337,5,FALSE)</f>
        <v>상시 개방</v>
      </c>
      <c r="K18" t="str">
        <f>VLOOKUP(B18,api!$A$2:$R$334,14,FALSE)</f>
        <v>033-248-6685</v>
      </c>
      <c r="L18" t="str">
        <f>VLOOKUP(B18,api!$A$2:$R$334,4,FALSE)</f>
        <v>https://www.gwpa.kr/</v>
      </c>
      <c r="M18">
        <f>VLOOKUP(B18,api!$A$2:$R$334,5,FALSE)</f>
        <v>4.3</v>
      </c>
      <c r="N18">
        <f>VLOOKUP(B18,api!$A$2:$R$334,6,FALSE)</f>
        <v>65</v>
      </c>
      <c r="O18">
        <f>VLOOKUP(B18,api!$A$2:$R$334,7,FALSE)</f>
        <v>302</v>
      </c>
      <c r="P18">
        <f>VLOOKUP(A18,budget!$A$5:$I$337,6,FALSE)</f>
        <v>0</v>
      </c>
      <c r="Q18">
        <f>VLOOKUP(A18,budget!$A$5:$I$337,7,FALSE)</f>
        <v>0</v>
      </c>
      <c r="R18" t="str">
        <f>VLOOKUP(A18,budget!$A$5:$I$337,8,FALSE)</f>
        <v>상시 무료 관람 (식음료 및 개인소모품비 제외)</v>
      </c>
      <c r="S18" t="str">
        <f>VLOOKUP(A18,budget!$A$5:$I$337,9,FALSE)</f>
        <v>http://place.map.kakao.com/11046971</v>
      </c>
      <c r="T18">
        <f>VLOOKUP(B18,api!$A$2:$R$334,17,FALSE)</f>
        <v>127.725688629876</v>
      </c>
      <c r="U18">
        <f>VLOOKUP(B18,api!$A$2:$R$334,18,FALSE)</f>
        <v>37.9230317243535</v>
      </c>
    </row>
    <row r="19" spans="1:21" x14ac:dyDescent="0.3">
      <c r="A19">
        <v>9675634</v>
      </c>
      <c r="B19" t="s">
        <v>17</v>
      </c>
      <c r="C19" t="str">
        <f>VLOOKUP(A19,budget!$A$5:$I$337,3,FALSE)</f>
        <v>강원종합박물관</v>
      </c>
      <c r="D19" t="str">
        <f>VLOOKUP(B19,api!$A$2:$R$334,2,FALSE)</f>
        <v>삼척시</v>
      </c>
      <c r="E19" t="str">
        <f>VLOOKUP(B19,api!$A$2:$R$334,12,FALSE)</f>
        <v>강원특별자치도 삼척시 신기면 신기리 375-4</v>
      </c>
      <c r="F19" t="s">
        <v>225</v>
      </c>
      <c r="G19" t="str">
        <f>VLOOKUP(A19,budget!$A$5:$I$337,4,FALSE)</f>
        <v>문화/전람/동굴/전망시설</v>
      </c>
      <c r="H19" t="s">
        <v>792</v>
      </c>
      <c r="I19" t="s">
        <v>793</v>
      </c>
      <c r="J19" t="str">
        <f>VLOOKUP(A19,budget!$A$5:$I$337,5,FALSE)</f>
        <v>09:00 - 18:00 (입장마감 17:00, 월요일 휴무)</v>
      </c>
      <c r="K19" t="str">
        <f>VLOOKUP(B19,api!$A$2:$R$334,14,FALSE)</f>
        <v>033-541-1523</v>
      </c>
      <c r="L19" t="str">
        <f>VLOOKUP(B19,api!$A$2:$R$334,4,FALSE)</f>
        <v>http://www.museum.gangwon.kr/</v>
      </c>
      <c r="M19">
        <f>VLOOKUP(B19,api!$A$2:$R$334,5,FALSE)</f>
        <v>2.7</v>
      </c>
      <c r="N19">
        <f>VLOOKUP(B19,api!$A$2:$R$334,6,FALSE)</f>
        <v>91</v>
      </c>
      <c r="O19">
        <f>VLOOKUP(B19,api!$A$2:$R$334,7,FALSE)</f>
        <v>215</v>
      </c>
      <c r="P19">
        <f>VLOOKUP(A19,budget!$A$5:$I$337,6,FALSE)</f>
        <v>2000</v>
      </c>
      <c r="Q19">
        <f>VLOOKUP(A19,budget!$A$5:$I$337,7,FALSE)</f>
        <v>10000</v>
      </c>
      <c r="R19" t="str">
        <f>VLOOKUP(A19,budget!$A$5:$I$337,8,FALSE)</f>
        <v>대인 관람료 및 전망대/스카이워크 이용료 기준</v>
      </c>
      <c r="S19" t="str">
        <f>VLOOKUP(A19,budget!$A$5:$I$337,9,FALSE)</f>
        <v>http://place.map.kakao.com/9675634</v>
      </c>
      <c r="T19">
        <f>VLOOKUP(B19,api!$A$2:$R$334,17,FALSE)</f>
        <v>129.08650074735999</v>
      </c>
      <c r="U19">
        <f>VLOOKUP(B19,api!$A$2:$R$334,18,FALSE)</f>
        <v>37.350927229702897</v>
      </c>
    </row>
    <row r="20" spans="1:21" x14ac:dyDescent="0.3">
      <c r="A20">
        <v>26388997</v>
      </c>
      <c r="B20" t="s">
        <v>18</v>
      </c>
      <c r="C20" t="str">
        <f>VLOOKUP(A20,budget!$A$5:$I$337,3,FALSE)</f>
        <v>강촌레일파크 경강 레일바이크</v>
      </c>
      <c r="D20" t="str">
        <f>VLOOKUP(B20,api!$A$2:$R$334,2,FALSE)</f>
        <v>춘천시</v>
      </c>
      <c r="E20" t="str">
        <f>VLOOKUP(B20,api!$A$2:$R$334,12,FALSE)</f>
        <v>강원특별자치도 춘천시 남산면 서천리 226-5</v>
      </c>
      <c r="F20" t="s">
        <v>226</v>
      </c>
      <c r="G20" t="str">
        <f>VLOOKUP(A20,budget!$A$5:$I$337,4,FALSE)</f>
        <v>체험/액티비티</v>
      </c>
      <c r="H20" t="s">
        <v>799</v>
      </c>
      <c r="I20" t="s">
        <v>800</v>
      </c>
      <c r="J20" t="str">
        <f>VLOOKUP(A20,budget!$A$5:$I$337,5,FALSE)</f>
        <v>09:00 - 17:30 (회차별 운행)</v>
      </c>
      <c r="K20" t="str">
        <f>VLOOKUP(B20,api!$A$2:$R$334,14,FALSE)</f>
        <v>033-245-1000</v>
      </c>
      <c r="L20">
        <f>VLOOKUP(B20,api!$A$2:$R$334,4,FALSE)</f>
        <v>0</v>
      </c>
      <c r="M20">
        <f>VLOOKUP(B20,api!$A$2:$R$334,5,FALSE)</f>
        <v>4</v>
      </c>
      <c r="N20">
        <f>VLOOKUP(B20,api!$A$2:$R$334,6,FALSE)</f>
        <v>23</v>
      </c>
      <c r="O20">
        <f>VLOOKUP(B20,api!$A$2:$R$334,7,FALSE)</f>
        <v>73</v>
      </c>
      <c r="P20">
        <f>VLOOKUP(A20,budget!$A$5:$I$337,6,FALSE)</f>
        <v>10000</v>
      </c>
      <c r="Q20">
        <f>VLOOKUP(A20,budget!$A$5:$I$337,7,FALSE)</f>
        <v>35000</v>
      </c>
      <c r="R20" t="str">
        <f>VLOOKUP(A20,budget!$A$5:$I$337,8,FALSE)</f>
        <v>1인 승선/체험권 기준 (코스 및 이용 상품에 따라 변동)</v>
      </c>
      <c r="S20" t="str">
        <f>VLOOKUP(A20,budget!$A$5:$I$337,9,FALSE)</f>
        <v>http://place.map.kakao.com/26388997</v>
      </c>
      <c r="T20">
        <f>VLOOKUP(B20,api!$A$2:$R$334,17,FALSE)</f>
        <v>127.55096098182899</v>
      </c>
      <c r="U20">
        <f>VLOOKUP(B20,api!$A$2:$R$334,18,FALSE)</f>
        <v>37.8427437956273</v>
      </c>
    </row>
    <row r="21" spans="1:21" x14ac:dyDescent="0.3">
      <c r="A21">
        <v>18711877</v>
      </c>
      <c r="B21" t="s">
        <v>19</v>
      </c>
      <c r="C21" t="str">
        <f>VLOOKUP(A21,budget!$A$5:$I$337,3,FALSE)</f>
        <v>강촌레일파크 김유정레일바이크</v>
      </c>
      <c r="D21" t="str">
        <f>VLOOKUP(B21,api!$A$2:$R$334,2,FALSE)</f>
        <v>춘천시</v>
      </c>
      <c r="E21" t="str">
        <f>VLOOKUP(B21,api!$A$2:$R$334,12,FALSE)</f>
        <v>강원특별자치도 춘천시 신동면 증리 323-2</v>
      </c>
      <c r="F21" t="s">
        <v>226</v>
      </c>
      <c r="G21" t="str">
        <f>VLOOKUP(A21,budget!$A$5:$I$337,4,FALSE)</f>
        <v>체험/액티비티</v>
      </c>
      <c r="H21" t="s">
        <v>799</v>
      </c>
      <c r="I21" t="s">
        <v>800</v>
      </c>
      <c r="J21" t="str">
        <f>VLOOKUP(A21,budget!$A$5:$I$337,5,FALSE)</f>
        <v>09:00 - 17:30 (회차별 운행)</v>
      </c>
      <c r="K21" t="str">
        <f>VLOOKUP(B21,api!$A$2:$R$334,14,FALSE)</f>
        <v>033-245-1000</v>
      </c>
      <c r="L21" t="str">
        <f>VLOOKUP(B21,api!$A$2:$R$334,4,FALSE)</f>
        <v>https://www.railpark.co.kr/</v>
      </c>
      <c r="M21">
        <f>VLOOKUP(B21,api!$A$2:$R$334,5,FALSE)</f>
        <v>3.8</v>
      </c>
      <c r="N21">
        <f>VLOOKUP(B21,api!$A$2:$R$334,6,FALSE)</f>
        <v>145</v>
      </c>
      <c r="O21">
        <f>VLOOKUP(B21,api!$A$2:$R$334,7,FALSE)</f>
        <v>265</v>
      </c>
      <c r="P21">
        <f>VLOOKUP(A21,budget!$A$5:$I$337,6,FALSE)</f>
        <v>10000</v>
      </c>
      <c r="Q21">
        <f>VLOOKUP(A21,budget!$A$5:$I$337,7,FALSE)</f>
        <v>35000</v>
      </c>
      <c r="R21" t="str">
        <f>VLOOKUP(A21,budget!$A$5:$I$337,8,FALSE)</f>
        <v>1인 승선/체험권 기준 (코스 및 이용 상품에 따라 변동)</v>
      </c>
      <c r="S21" t="str">
        <f>VLOOKUP(A21,budget!$A$5:$I$337,9,FALSE)</f>
        <v>http://place.map.kakao.com/18711877</v>
      </c>
      <c r="T21">
        <f>VLOOKUP(B21,api!$A$2:$R$334,17,FALSE)</f>
        <v>127.712332325863</v>
      </c>
      <c r="U21">
        <f>VLOOKUP(B21,api!$A$2:$R$334,18,FALSE)</f>
        <v>37.815772663335899</v>
      </c>
    </row>
    <row r="22" spans="1:21" x14ac:dyDescent="0.3">
      <c r="A22">
        <v>8171586</v>
      </c>
      <c r="B22" t="s">
        <v>20</v>
      </c>
      <c r="C22" t="str">
        <f>VLOOKUP(A22,budget!$A$5:$I$337,3,FALSE)</f>
        <v>건봉사</v>
      </c>
      <c r="D22" t="str">
        <f>VLOOKUP(B22,api!$A$2:$R$334,2,FALSE)</f>
        <v>고성군</v>
      </c>
      <c r="E22" t="str">
        <f>VLOOKUP(B22,api!$A$2:$R$334,12,FALSE)</f>
        <v>강원특별자치도 고성군 거진읍 냉천리 36</v>
      </c>
      <c r="F22" t="s">
        <v>226</v>
      </c>
      <c r="G22" t="str">
        <f>VLOOKUP(A22,budget!$A$5:$I$337,4,FALSE)</f>
        <v>자연경관/자유관광지</v>
      </c>
      <c r="J22" t="str">
        <f>VLOOKUP(A22,budget!$A$5:$I$337,5,FALSE)</f>
        <v>24시간 연중무휴 (자유 방문)</v>
      </c>
      <c r="K22" t="str">
        <f>VLOOKUP(B22,api!$A$2:$R$334,14,FALSE)</f>
        <v>033-682-8100</v>
      </c>
      <c r="L22" t="str">
        <f>VLOOKUP(B22,api!$A$2:$R$334,4,FALSE)</f>
        <v>https://www.gwgs.go.kr/tour/index.do</v>
      </c>
      <c r="M22">
        <f>VLOOKUP(B22,api!$A$2:$R$334,5,FALSE)</f>
        <v>4.5999999999999996</v>
      </c>
      <c r="N22">
        <f>VLOOKUP(B22,api!$A$2:$R$334,6,FALSE)</f>
        <v>44</v>
      </c>
      <c r="O22">
        <f>VLOOKUP(B22,api!$A$2:$R$334,7,FALSE)</f>
        <v>182</v>
      </c>
      <c r="P22">
        <f>VLOOKUP(A22,budget!$A$5:$I$337,6,FALSE)</f>
        <v>0</v>
      </c>
      <c r="Q22">
        <f>VLOOKUP(A22,budget!$A$5:$I$337,7,FALSE)</f>
        <v>0</v>
      </c>
      <c r="R22" t="str">
        <f>VLOOKUP(A22,budget!$A$5:$I$337,8,FALSE)</f>
        <v>상시 무료 관람 (식음료 및 개인소모품비 제외)</v>
      </c>
      <c r="S22" t="str">
        <f>VLOOKUP(A22,budget!$A$5:$I$337,9,FALSE)</f>
        <v>http://place.map.kakao.com/8171586</v>
      </c>
      <c r="T22">
        <f>VLOOKUP(B22,api!$A$2:$R$334,17,FALSE)</f>
        <v>128.37946636277599</v>
      </c>
      <c r="U22">
        <f>VLOOKUP(B22,api!$A$2:$R$334,18,FALSE)</f>
        <v>38.403157662490401</v>
      </c>
    </row>
    <row r="23" spans="1:21" x14ac:dyDescent="0.3">
      <c r="A23">
        <v>910019105</v>
      </c>
      <c r="B23" t="s">
        <v>21</v>
      </c>
      <c r="C23" t="str">
        <f>VLOOKUP(A23,budget!$A$5:$I$337,3,FALSE)</f>
        <v>경포해변 중앙광장</v>
      </c>
      <c r="D23" t="str">
        <f>VLOOKUP(B23,api!$A$2:$R$334,2,FALSE)</f>
        <v>강릉시</v>
      </c>
      <c r="E23" t="str">
        <f>VLOOKUP(B23,api!$A$2:$R$334,12,FALSE)</f>
        <v>강원특별자치도 강릉시 강문동 산 1</v>
      </c>
      <c r="F23" t="s">
        <v>226</v>
      </c>
      <c r="G23" t="str">
        <f>VLOOKUP(A23,budget!$A$5:$I$337,4,FALSE)</f>
        <v>자연경관/자유관광지</v>
      </c>
      <c r="J23" t="str">
        <f>VLOOKUP(A23,budget!$A$5:$I$337,5,FALSE)</f>
        <v>24시간 연중무휴 (자유 방문)</v>
      </c>
      <c r="K23">
        <f>VLOOKUP(B23,api!$A$2:$R$334,14,FALSE)</f>
        <v>0</v>
      </c>
      <c r="L23" t="str">
        <f>VLOOKUP(B23,api!$A$2:$R$334,4,FALSE)</f>
        <v>https://www.gn.go.kr/tour/prog/lod/Sights/S01/sub02_02_01/view.do?cid=434&amp;orderBy=B&amp;pageIndex=1&amp;searchCondition=sj&amp;searchKeyword=%EA%B2%BD%ED%8F%AC%ED%95%B4%EB%B3%80</v>
      </c>
      <c r="M23">
        <f>VLOOKUP(B23,api!$A$2:$R$334,5,FALSE)</f>
        <v>4.7</v>
      </c>
      <c r="N23">
        <f>VLOOKUP(B23,api!$A$2:$R$334,6,FALSE)</f>
        <v>3</v>
      </c>
      <c r="O23">
        <f>VLOOKUP(B23,api!$A$2:$R$334,7,FALSE)</f>
        <v>4</v>
      </c>
      <c r="P23">
        <f>VLOOKUP(A23,budget!$A$5:$I$337,6,FALSE)</f>
        <v>0</v>
      </c>
      <c r="Q23">
        <f>VLOOKUP(A23,budget!$A$5:$I$337,7,FALSE)</f>
        <v>0</v>
      </c>
      <c r="R23" t="str">
        <f>VLOOKUP(A23,budget!$A$5:$I$337,8,FALSE)</f>
        <v>상시 무료 관람 (식음료 및 개인소모품비 제외)</v>
      </c>
      <c r="S23" t="str">
        <f>VLOOKUP(A23,budget!$A$5:$I$337,9,FALSE)</f>
        <v>http://place.map.kakao.com/910019105</v>
      </c>
      <c r="T23">
        <f>VLOOKUP(B23,api!$A$2:$R$334,17,FALSE)</f>
        <v>128.907803615147</v>
      </c>
      <c r="U23">
        <f>VLOOKUP(B23,api!$A$2:$R$334,18,FALSE)</f>
        <v>37.8051380887932</v>
      </c>
    </row>
    <row r="24" spans="1:21" x14ac:dyDescent="0.3">
      <c r="A24">
        <v>8199114</v>
      </c>
      <c r="B24" t="s">
        <v>22</v>
      </c>
      <c r="C24" t="str">
        <f>VLOOKUP(A24,budget!$A$5:$I$337,3,FALSE)</f>
        <v>경포해수욕장</v>
      </c>
      <c r="D24" t="str">
        <f>VLOOKUP(B24,api!$A$2:$R$334,2,FALSE)</f>
        <v>강릉시</v>
      </c>
      <c r="E24" t="str">
        <f>VLOOKUP(B24,api!$A$2:$R$334,12,FALSE)</f>
        <v>강원특별자치도 강릉시 강문동 산 1</v>
      </c>
      <c r="F24" t="s">
        <v>226</v>
      </c>
      <c r="G24" t="str">
        <f>VLOOKUP(A24,budget!$A$5:$I$337,4,FALSE)</f>
        <v>자연경관/자유관광지</v>
      </c>
      <c r="H24" t="s">
        <v>799</v>
      </c>
      <c r="I24" t="s">
        <v>800</v>
      </c>
      <c r="J24" t="str">
        <f>VLOOKUP(A24,budget!$A$5:$I$337,5,FALSE)</f>
        <v>24시간 연중무휴 (자유 방문)</v>
      </c>
      <c r="K24">
        <f>VLOOKUP(B24,api!$A$2:$R$334,14,FALSE)</f>
        <v>0</v>
      </c>
      <c r="L24" t="str">
        <f>VLOOKUP(B24,api!$A$2:$R$334,4,FALSE)</f>
        <v>https://www.gn.go.kr/tour/prog/lod/Sights/S01/sub02_02_01/view.do?cid=434&amp;orderBy=B&amp;pageIndex=1&amp;searchCondition=sj&amp;searchKeyword=%EA%B2%BD%ED%8F%AC%ED%95%B4%EB%B3%80</v>
      </c>
      <c r="M24">
        <f>VLOOKUP(B24,api!$A$2:$R$334,5,FALSE)</f>
        <v>4.4000000000000004</v>
      </c>
      <c r="N24">
        <f>VLOOKUP(B24,api!$A$2:$R$334,6,FALSE)</f>
        <v>217</v>
      </c>
      <c r="O24">
        <f>VLOOKUP(B24,api!$A$2:$R$334,7,FALSE)</f>
        <v>38</v>
      </c>
      <c r="P24">
        <f>VLOOKUP(A24,budget!$A$5:$I$337,6,FALSE)</f>
        <v>0</v>
      </c>
      <c r="Q24">
        <f>VLOOKUP(A24,budget!$A$5:$I$337,7,FALSE)</f>
        <v>0</v>
      </c>
      <c r="R24" t="str">
        <f>VLOOKUP(A24,budget!$A$5:$I$337,8,FALSE)</f>
        <v>상시 무료 관람 (식음료 및 개인소모품비 제외)</v>
      </c>
      <c r="S24" t="str">
        <f>VLOOKUP(A24,budget!$A$5:$I$337,9,FALSE)</f>
        <v>http://place.map.kakao.com/8199114</v>
      </c>
      <c r="T24">
        <f>VLOOKUP(B24,api!$A$2:$R$334,17,FALSE)</f>
        <v>128.91021024760499</v>
      </c>
      <c r="U24">
        <f>VLOOKUP(B24,api!$A$2:$R$334,18,FALSE)</f>
        <v>37.803405508312501</v>
      </c>
    </row>
    <row r="25" spans="1:21" x14ac:dyDescent="0.3">
      <c r="A25">
        <v>12296544</v>
      </c>
      <c r="B25" t="s">
        <v>23</v>
      </c>
      <c r="C25" t="str">
        <f>VLOOKUP(A25,budget!$A$5:$I$337,3,FALSE)</f>
        <v>계방산오토캠핑장</v>
      </c>
      <c r="D25" t="str">
        <f>VLOOKUP(B25,api!$A$2:$R$334,2,FALSE)</f>
        <v>평창군</v>
      </c>
      <c r="E25" t="str">
        <f>VLOOKUP(B25,api!$A$2:$R$334,12,FALSE)</f>
        <v>강원특별자치도 평창군 용평면 노동리 86</v>
      </c>
      <c r="F25" t="s">
        <v>226</v>
      </c>
      <c r="G25" t="str">
        <f>VLOOKUP(A25,budget!$A$5:$I$337,4,FALSE)</f>
        <v>캠핑/숙박시설</v>
      </c>
      <c r="H25" t="s">
        <v>908</v>
      </c>
      <c r="I25" t="s">
        <v>909</v>
      </c>
      <c r="J25" t="str">
        <f>VLOOKUP(A25,budget!$A$5:$I$337,5,FALSE)</f>
        <v>입실 14:00 / 퇴실 11:00 (상시)</v>
      </c>
      <c r="K25" t="str">
        <f>VLOOKUP(B25,api!$A$2:$R$334,14,FALSE)</f>
        <v>033-339-9016</v>
      </c>
      <c r="L25" t="str">
        <f>VLOOKUP(B25,api!$A$2:$R$334,4,FALSE)</f>
        <v>https://www.camfit.co.kr/camp/61d3a4fa5df366001e3f16a6</v>
      </c>
      <c r="M25">
        <f>VLOOKUP(B25,api!$A$2:$R$334,5,FALSE)</f>
        <v>4.8</v>
      </c>
      <c r="N25">
        <f>VLOOKUP(B25,api!$A$2:$R$334,6,FALSE)</f>
        <v>13</v>
      </c>
      <c r="O25">
        <f>VLOOKUP(B25,api!$A$2:$R$334,7,FALSE)</f>
        <v>54</v>
      </c>
      <c r="P25">
        <f>VLOOKUP(A25,budget!$A$5:$I$337,6,FALSE)</f>
        <v>0</v>
      </c>
      <c r="Q25">
        <f>VLOOKUP(A25,budget!$A$5:$I$337,7,FALSE)</f>
        <v>0</v>
      </c>
      <c r="R25" t="str">
        <f>VLOOKUP(A25,budget!$A$5:$I$337,8,FALSE)</f>
        <v>시설 이용 고객 대상 (단순 둘러보기/입장 무료)</v>
      </c>
      <c r="S25" t="str">
        <f>VLOOKUP(A25,budget!$A$5:$I$337,9,FALSE)</f>
        <v>http://place.map.kakao.com/12296544</v>
      </c>
      <c r="T25">
        <f>VLOOKUP(B25,api!$A$2:$R$334,17,FALSE)</f>
        <v>128.47937139075</v>
      </c>
      <c r="U25">
        <f>VLOOKUP(B25,api!$A$2:$R$334,18,FALSE)</f>
        <v>37.700035541338003</v>
      </c>
    </row>
    <row r="26" spans="1:21" x14ac:dyDescent="0.3">
      <c r="A26">
        <v>13266763</v>
      </c>
      <c r="B26" t="s">
        <v>24</v>
      </c>
      <c r="C26" t="str">
        <f>VLOOKUP(A26,budget!$A$5:$I$337,3,FALSE)</f>
        <v>태백고생대자연사박물관</v>
      </c>
      <c r="D26" t="str">
        <f>VLOOKUP(B26,api!$A$2:$R$334,2,FALSE)</f>
        <v>태백시</v>
      </c>
      <c r="E26" t="str">
        <f>VLOOKUP(B26,api!$A$2:$R$334,12,FALSE)</f>
        <v>강원특별자치도 태백시 동점동 295</v>
      </c>
      <c r="F26" t="s">
        <v>225</v>
      </c>
      <c r="G26" t="str">
        <f>VLOOKUP(A26,budget!$A$5:$I$337,4,FALSE)</f>
        <v>문화/전람/동굴/전망시설</v>
      </c>
      <c r="H26" t="s">
        <v>792</v>
      </c>
      <c r="I26" t="s">
        <v>793</v>
      </c>
      <c r="J26" t="str">
        <f>VLOOKUP(A26,budget!$A$5:$I$337,5,FALSE)</f>
        <v>09:00 - 18:00 (입장마감 17:00, 월요일 휴무)</v>
      </c>
      <c r="K26" t="str">
        <f>VLOOKUP(B26,api!$A$2:$R$334,14,FALSE)</f>
        <v>033-581-8181</v>
      </c>
      <c r="L26" t="str">
        <f>VLOOKUP(B26,api!$A$2:$R$334,4,FALSE)</f>
        <v>https://tour.taebaek.go.kr/tpmuseum</v>
      </c>
      <c r="M26">
        <f>VLOOKUP(B26,api!$A$2:$R$334,5,FALSE)</f>
        <v>4.5</v>
      </c>
      <c r="N26">
        <f>VLOOKUP(B26,api!$A$2:$R$334,6,FALSE)</f>
        <v>30</v>
      </c>
      <c r="O26">
        <f>VLOOKUP(B26,api!$A$2:$R$334,7,FALSE)</f>
        <v>141</v>
      </c>
      <c r="P26">
        <f>VLOOKUP(A26,budget!$A$5:$I$337,6,FALSE)</f>
        <v>2000</v>
      </c>
      <c r="Q26">
        <f>VLOOKUP(A26,budget!$A$5:$I$337,7,FALSE)</f>
        <v>10000</v>
      </c>
      <c r="R26" t="str">
        <f>VLOOKUP(A26,budget!$A$5:$I$337,8,FALSE)</f>
        <v>대인 관람료 및 전망대/스카이워크 이용료 기준</v>
      </c>
      <c r="S26" t="str">
        <f>VLOOKUP(A26,budget!$A$5:$I$337,9,FALSE)</f>
        <v>http://place.map.kakao.com/13266763</v>
      </c>
      <c r="T26">
        <f>VLOOKUP(B26,api!$A$2:$R$334,17,FALSE)</f>
        <v>129.03955706253299</v>
      </c>
      <c r="U26">
        <f>VLOOKUP(B26,api!$A$2:$R$334,18,FALSE)</f>
        <v>37.094919423209298</v>
      </c>
    </row>
    <row r="27" spans="1:21" x14ac:dyDescent="0.3">
      <c r="A27">
        <v>8176583</v>
      </c>
      <c r="B27" t="s">
        <v>25</v>
      </c>
      <c r="C27" t="str">
        <f>VLOOKUP(A27,budget!$A$5:$I$337,3,FALSE)</f>
        <v>고석정</v>
      </c>
      <c r="D27" t="str">
        <f>VLOOKUP(B27,api!$A$2:$R$334,2,FALSE)</f>
        <v>철원군</v>
      </c>
      <c r="E27" t="str">
        <f>VLOOKUP(B27,api!$A$2:$R$334,12,FALSE)</f>
        <v>강원특별자치도 철원군 동송읍 장흥리 725-13</v>
      </c>
      <c r="F27" t="s">
        <v>226</v>
      </c>
      <c r="G27" t="str">
        <f>VLOOKUP(A27,budget!$A$5:$I$337,4,FALSE)</f>
        <v>자연경관/자유관광지</v>
      </c>
      <c r="J27" t="str">
        <f>VLOOKUP(A27,budget!$A$5:$I$337,5,FALSE)</f>
        <v>상시 개방</v>
      </c>
      <c r="K27" t="str">
        <f>VLOOKUP(B27,api!$A$2:$R$334,14,FALSE)</f>
        <v>033-450-5558</v>
      </c>
      <c r="L27">
        <f>VLOOKUP(B27,api!$A$2:$R$334,4,FALSE)</f>
        <v>0</v>
      </c>
      <c r="M27">
        <f>VLOOKUP(B27,api!$A$2:$R$334,5,FALSE)</f>
        <v>4.4000000000000004</v>
      </c>
      <c r="N27">
        <f>VLOOKUP(B27,api!$A$2:$R$334,6,FALSE)</f>
        <v>179</v>
      </c>
      <c r="O27">
        <f>VLOOKUP(B27,api!$A$2:$R$334,7,FALSE)</f>
        <v>88</v>
      </c>
      <c r="P27">
        <f>VLOOKUP(A27,budget!$A$5:$I$337,6,FALSE)</f>
        <v>0</v>
      </c>
      <c r="Q27">
        <f>VLOOKUP(A27,budget!$A$5:$I$337,7,FALSE)</f>
        <v>0</v>
      </c>
      <c r="R27" t="str">
        <f>VLOOKUP(A27,budget!$A$5:$I$337,8,FALSE)</f>
        <v>상시 무료 관람 (식음료 및 개인소모품비 제외)</v>
      </c>
      <c r="S27" t="str">
        <f>VLOOKUP(A27,budget!$A$5:$I$337,9,FALSE)</f>
        <v>http://place.map.kakao.com/8176583</v>
      </c>
      <c r="T27">
        <f>VLOOKUP(B27,api!$A$2:$R$334,17,FALSE)</f>
        <v>127.287954290389</v>
      </c>
      <c r="U27">
        <f>VLOOKUP(B27,api!$A$2:$R$334,18,FALSE)</f>
        <v>38.185262491597797</v>
      </c>
    </row>
    <row r="28" spans="1:21" x14ac:dyDescent="0.3">
      <c r="A28">
        <v>984257114</v>
      </c>
      <c r="B28" t="s">
        <v>26</v>
      </c>
      <c r="C28" t="str">
        <f>VLOOKUP(A28,budget!$A$5:$I$337,3,FALSE)</f>
        <v>서낭바위</v>
      </c>
      <c r="D28" t="str">
        <f>VLOOKUP(B28,api!$A$2:$R$334,2,FALSE)</f>
        <v>고성군</v>
      </c>
      <c r="E28" t="str">
        <f>VLOOKUP(B28,api!$A$2:$R$334,12,FALSE)</f>
        <v>강원특별자치도 고성군 죽왕면 오호리 산 24-1</v>
      </c>
      <c r="F28" t="s">
        <v>226</v>
      </c>
      <c r="G28" t="str">
        <f>VLOOKUP(A28,budget!$A$5:$I$337,4,FALSE)</f>
        <v>자연경관/자유관광지</v>
      </c>
      <c r="J28" t="str">
        <f>VLOOKUP(A28,budget!$A$5:$I$337,5,FALSE)</f>
        <v>상시 개방</v>
      </c>
      <c r="K28">
        <f>VLOOKUP(B28,api!$A$2:$R$334,14,FALSE)</f>
        <v>0</v>
      </c>
      <c r="L28" t="str">
        <f>VLOOKUP(B28,api!$A$2:$R$334,4,FALSE)</f>
        <v>https://blog.naver.com/happy-goseong/222505032066</v>
      </c>
      <c r="M28">
        <f>VLOOKUP(B28,api!$A$2:$R$334,5,FALSE)</f>
        <v>4.5</v>
      </c>
      <c r="N28">
        <f>VLOOKUP(B28,api!$A$2:$R$334,6,FALSE)</f>
        <v>40</v>
      </c>
      <c r="O28">
        <f>VLOOKUP(B28,api!$A$2:$R$334,7,FALSE)</f>
        <v>64</v>
      </c>
      <c r="P28">
        <f>VLOOKUP(A28,budget!$A$5:$I$337,6,FALSE)</f>
        <v>0</v>
      </c>
      <c r="Q28">
        <f>VLOOKUP(A28,budget!$A$5:$I$337,7,FALSE)</f>
        <v>0</v>
      </c>
      <c r="R28" t="str">
        <f>VLOOKUP(A28,budget!$A$5:$I$337,8,FALSE)</f>
        <v>상시 무료 관람 (식음료 및 개인소모품비 제외)</v>
      </c>
      <c r="S28" t="str">
        <f>VLOOKUP(A28,budget!$A$5:$I$337,9,FALSE)</f>
        <v>http://place.map.kakao.com/984257114</v>
      </c>
      <c r="T28">
        <f>VLOOKUP(B28,api!$A$2:$R$334,17,FALSE)</f>
        <v>128.52992529304001</v>
      </c>
      <c r="U28">
        <f>VLOOKUP(B28,api!$A$2:$R$334,18,FALSE)</f>
        <v>38.327507332776101</v>
      </c>
    </row>
    <row r="29" spans="1:21" x14ac:dyDescent="0.3">
      <c r="A29">
        <v>8127461</v>
      </c>
      <c r="B29" t="s">
        <v>27</v>
      </c>
      <c r="C29" t="str">
        <f>VLOOKUP(A29,budget!$A$5:$I$337,3,FALSE)</f>
        <v>하늬라벤더팜</v>
      </c>
      <c r="D29" t="str">
        <f>VLOOKUP(B29,api!$A$2:$R$334,2,FALSE)</f>
        <v>고성군</v>
      </c>
      <c r="E29" t="str">
        <f>VLOOKUP(B29,api!$A$2:$R$334,12,FALSE)</f>
        <v>강원특별자치도 고성군 간성읍 어천리 786-5</v>
      </c>
      <c r="F29" t="s">
        <v>226</v>
      </c>
      <c r="G29" t="str">
        <f>VLOOKUP(A29,budget!$A$5:$I$337,4,FALSE)</f>
        <v>자연경관/자유관광지</v>
      </c>
      <c r="J29" t="str">
        <f>VLOOKUP(A29,budget!$A$5:$I$337,5,FALSE)</f>
        <v>상시 개방</v>
      </c>
      <c r="K29" t="str">
        <f>VLOOKUP(B29,api!$A$2:$R$334,14,FALSE)</f>
        <v>033-681-0005</v>
      </c>
      <c r="L29" t="str">
        <f>VLOOKUP(B29,api!$A$2:$R$334,4,FALSE)</f>
        <v>https://www.lavenderfarm.co.kr/</v>
      </c>
      <c r="M29">
        <f>VLOOKUP(B29,api!$A$2:$R$334,5,FALSE)</f>
        <v>3.3</v>
      </c>
      <c r="N29">
        <f>VLOOKUP(B29,api!$A$2:$R$334,6,FALSE)</f>
        <v>76</v>
      </c>
      <c r="O29">
        <f>VLOOKUP(B29,api!$A$2:$R$334,7,FALSE)</f>
        <v>527</v>
      </c>
      <c r="P29">
        <f>VLOOKUP(A29,budget!$A$5:$I$337,6,FALSE)</f>
        <v>0</v>
      </c>
      <c r="Q29">
        <f>VLOOKUP(A29,budget!$A$5:$I$337,7,FALSE)</f>
        <v>0</v>
      </c>
      <c r="R29" t="str">
        <f>VLOOKUP(A29,budget!$A$5:$I$337,8,FALSE)</f>
        <v>상시 무료 관람 (식음료 및 개인소모품비 제외)</v>
      </c>
      <c r="S29" t="str">
        <f>VLOOKUP(A29,budget!$A$5:$I$337,9,FALSE)</f>
        <v>http://place.map.kakao.com/8127461</v>
      </c>
      <c r="T29">
        <f>VLOOKUP(B29,api!$A$2:$R$334,17,FALSE)</f>
        <v>128.41523655693999</v>
      </c>
      <c r="U29">
        <f>VLOOKUP(B29,api!$A$2:$R$334,18,FALSE)</f>
        <v>38.348549341909397</v>
      </c>
    </row>
    <row r="30" spans="1:21" x14ac:dyDescent="0.3">
      <c r="A30">
        <v>1439312170</v>
      </c>
      <c r="B30" t="s">
        <v>28</v>
      </c>
      <c r="C30" t="str">
        <f>VLOOKUP(A30,budget!$A$5:$I$337,3,FALSE)</f>
        <v>고성통일전망타워</v>
      </c>
      <c r="D30" t="str">
        <f>VLOOKUP(B30,api!$A$2:$R$334,2,FALSE)</f>
        <v>고성군</v>
      </c>
      <c r="E30" t="str">
        <f>VLOOKUP(B30,api!$A$2:$R$334,12,FALSE)</f>
        <v>강원특별자치도 고성군 현내면 명호리 2-23</v>
      </c>
      <c r="F30" t="s">
        <v>226</v>
      </c>
      <c r="G30" t="str">
        <f>VLOOKUP(A30,budget!$A$5:$I$337,4,FALSE)</f>
        <v>문화/전람/동굴/전망시설</v>
      </c>
      <c r="H30" t="s">
        <v>799</v>
      </c>
      <c r="I30" t="s">
        <v>800</v>
      </c>
      <c r="J30" t="str">
        <f>VLOOKUP(A30,budget!$A$5:$I$337,5,FALSE)</f>
        <v>10:00 - 18:00 (하절기/주말 연장운영)</v>
      </c>
      <c r="K30" t="str">
        <f>VLOOKUP(B30,api!$A$2:$R$334,14,FALSE)</f>
        <v>033-682-0088</v>
      </c>
      <c r="L30" t="str">
        <f>VLOOKUP(B30,api!$A$2:$R$334,4,FALSE)</f>
        <v>http://www.tongiltour.co.kr/</v>
      </c>
      <c r="M30">
        <f>VLOOKUP(B30,api!$A$2:$R$334,5,FALSE)</f>
        <v>4.3</v>
      </c>
      <c r="N30">
        <f>VLOOKUP(B30,api!$A$2:$R$334,6,FALSE)</f>
        <v>247</v>
      </c>
      <c r="O30">
        <f>VLOOKUP(B30,api!$A$2:$R$334,7,FALSE)</f>
        <v>297</v>
      </c>
      <c r="P30">
        <f>VLOOKUP(A30,budget!$A$5:$I$337,6,FALSE)</f>
        <v>2000</v>
      </c>
      <c r="Q30">
        <f>VLOOKUP(A30,budget!$A$5:$I$337,7,FALSE)</f>
        <v>10000</v>
      </c>
      <c r="R30" t="str">
        <f>VLOOKUP(A30,budget!$A$5:$I$337,8,FALSE)</f>
        <v>대인 관람료 및 전망대/스카이워크 이용료 기준</v>
      </c>
      <c r="S30" t="str">
        <f>VLOOKUP(A30,budget!$A$5:$I$337,9,FALSE)</f>
        <v>http://place.map.kakao.com/1439312170</v>
      </c>
      <c r="T30">
        <f>VLOOKUP(B30,api!$A$2:$R$334,17,FALSE)</f>
        <v>128.37488822443299</v>
      </c>
      <c r="U30">
        <f>VLOOKUP(B30,api!$A$2:$R$334,18,FALSE)</f>
        <v>38.586687048246397</v>
      </c>
    </row>
    <row r="31" spans="1:21" x14ac:dyDescent="0.3">
      <c r="A31">
        <v>11529179</v>
      </c>
      <c r="B31" t="s">
        <v>29</v>
      </c>
      <c r="C31" t="str">
        <f>VLOOKUP(A31,budget!$A$5:$I$337,3,FALSE)</f>
        <v>곰배령</v>
      </c>
      <c r="D31" t="str">
        <f>VLOOKUP(B31,api!$A$2:$R$334,2,FALSE)</f>
        <v>인제군</v>
      </c>
      <c r="E31" t="str">
        <f>VLOOKUP(B31,api!$A$2:$R$334,12,FALSE)</f>
        <v>강원특별자치도 인제군 기린면 진동리</v>
      </c>
      <c r="F31" t="s">
        <v>226</v>
      </c>
      <c r="G31" t="str">
        <f>VLOOKUP(A31,budget!$A$5:$I$337,4,FALSE)</f>
        <v>자연경관/자유관광지</v>
      </c>
      <c r="J31" t="str">
        <f>VLOOKUP(A31,budget!$A$5:$I$337,5,FALSE)</f>
        <v>상시 개방</v>
      </c>
      <c r="K31">
        <f>VLOOKUP(B31,api!$A$2:$R$334,14,FALSE)</f>
        <v>0</v>
      </c>
      <c r="L31">
        <f>VLOOKUP(B31,api!$A$2:$R$334,4,FALSE)</f>
        <v>0</v>
      </c>
      <c r="M31">
        <f>VLOOKUP(B31,api!$A$2:$R$334,5,FALSE)</f>
        <v>4.5</v>
      </c>
      <c r="N31">
        <f>VLOOKUP(B31,api!$A$2:$R$334,6,FALSE)</f>
        <v>46</v>
      </c>
      <c r="O31">
        <f>VLOOKUP(B31,api!$A$2:$R$334,7,FALSE)</f>
        <v>111</v>
      </c>
      <c r="P31">
        <f>VLOOKUP(A31,budget!$A$5:$I$337,6,FALSE)</f>
        <v>0</v>
      </c>
      <c r="Q31">
        <f>VLOOKUP(A31,budget!$A$5:$I$337,7,FALSE)</f>
        <v>0</v>
      </c>
      <c r="R31" t="str">
        <f>VLOOKUP(A31,budget!$A$5:$I$337,8,FALSE)</f>
        <v>상시 무료 관람 (식음료 및 개인소모품비 제외)</v>
      </c>
      <c r="S31" t="str">
        <f>VLOOKUP(A31,budget!$A$5:$I$337,9,FALSE)</f>
        <v>http://place.map.kakao.com/11529179</v>
      </c>
      <c r="T31">
        <f>VLOOKUP(B31,api!$A$2:$R$334,17,FALSE)</f>
        <v>128.43340170100601</v>
      </c>
      <c r="U31">
        <f>VLOOKUP(B31,api!$A$2:$R$334,18,FALSE)</f>
        <v>38.027597700694002</v>
      </c>
    </row>
    <row r="32" spans="1:21" x14ac:dyDescent="0.3">
      <c r="A32">
        <v>8235953</v>
      </c>
      <c r="B32" t="s">
        <v>30</v>
      </c>
      <c r="C32" t="str">
        <f>VLOOKUP(A32,budget!$A$5:$I$337,3,FALSE)</f>
        <v>구곡폭포</v>
      </c>
      <c r="D32" t="str">
        <f>VLOOKUP(B32,api!$A$2:$R$334,2,FALSE)</f>
        <v>춘천시</v>
      </c>
      <c r="E32" t="str">
        <f>VLOOKUP(B32,api!$A$2:$R$334,12,FALSE)</f>
        <v>강원특별자치도 춘천시 남산면 강촌리 432</v>
      </c>
      <c r="F32" t="s">
        <v>226</v>
      </c>
      <c r="G32" t="str">
        <f>VLOOKUP(A32,budget!$A$5:$I$337,4,FALSE)</f>
        <v>자연경관/자유관광지</v>
      </c>
      <c r="J32" t="str">
        <f>VLOOKUP(A32,budget!$A$5:$I$337,5,FALSE)</f>
        <v>24시간 연중무휴 (자유 방문)</v>
      </c>
      <c r="K32" t="str">
        <f>VLOOKUP(B32,api!$A$2:$R$334,14,FALSE)</f>
        <v>033-261-0088</v>
      </c>
      <c r="L32" t="str">
        <f>VLOOKUP(B32,api!$A$2:$R$334,4,FALSE)</f>
        <v>http://tour.chuncheon.go.kr/</v>
      </c>
      <c r="M32">
        <f>VLOOKUP(B32,api!$A$2:$R$334,5,FALSE)</f>
        <v>4.2</v>
      </c>
      <c r="N32">
        <f>VLOOKUP(B32,api!$A$2:$R$334,6,FALSE)</f>
        <v>28</v>
      </c>
      <c r="O32">
        <f>VLOOKUP(B32,api!$A$2:$R$334,7,FALSE)</f>
        <v>117</v>
      </c>
      <c r="P32">
        <f>VLOOKUP(A32,budget!$A$5:$I$337,6,FALSE)</f>
        <v>0</v>
      </c>
      <c r="Q32">
        <f>VLOOKUP(A32,budget!$A$5:$I$337,7,FALSE)</f>
        <v>0</v>
      </c>
      <c r="R32" t="str">
        <f>VLOOKUP(A32,budget!$A$5:$I$337,8,FALSE)</f>
        <v>상시 무료 관람 (식음료 및 개인소모품비 제외)</v>
      </c>
      <c r="S32" t="str">
        <f>VLOOKUP(A32,budget!$A$5:$I$337,9,FALSE)</f>
        <v>http://place.map.kakao.com/8235953</v>
      </c>
      <c r="T32">
        <f>VLOOKUP(B32,api!$A$2:$R$334,17,FALSE)</f>
        <v>127.615851972315</v>
      </c>
      <c r="U32">
        <f>VLOOKUP(B32,api!$A$2:$R$334,18,FALSE)</f>
        <v>37.797032759760803</v>
      </c>
    </row>
    <row r="33" spans="1:21" x14ac:dyDescent="0.3">
      <c r="A33">
        <v>8214139</v>
      </c>
      <c r="B33" t="s">
        <v>31</v>
      </c>
      <c r="C33" t="str">
        <f>VLOOKUP(A33,budget!$A$5:$I$337,3,FALSE)</f>
        <v>구문소</v>
      </c>
      <c r="D33" t="str">
        <f>VLOOKUP(B33,api!$A$2:$R$334,2,FALSE)</f>
        <v>태백시</v>
      </c>
      <c r="E33" t="str">
        <f>VLOOKUP(B33,api!$A$2:$R$334,12,FALSE)</f>
        <v>강원특별자치도 태백시 동점동 498-123</v>
      </c>
      <c r="F33" t="s">
        <v>226</v>
      </c>
      <c r="G33" t="str">
        <f>VLOOKUP(A33,budget!$A$5:$I$337,4,FALSE)</f>
        <v>자연경관/자유관광지</v>
      </c>
      <c r="J33" t="str">
        <f>VLOOKUP(A33,budget!$A$5:$I$337,5,FALSE)</f>
        <v>상시 개방</v>
      </c>
      <c r="K33">
        <f>VLOOKUP(B33,api!$A$2:$R$334,14,FALSE)</f>
        <v>0</v>
      </c>
      <c r="L33" t="str">
        <f>VLOOKUP(B33,api!$A$2:$R$334,4,FALSE)</f>
        <v>https://tour.taebaek.go.kr/</v>
      </c>
      <c r="M33">
        <f>VLOOKUP(B33,api!$A$2:$R$334,5,FALSE)</f>
        <v>4.5</v>
      </c>
      <c r="N33">
        <f>VLOOKUP(B33,api!$A$2:$R$334,6,FALSE)</f>
        <v>71</v>
      </c>
      <c r="O33">
        <f>VLOOKUP(B33,api!$A$2:$R$334,7,FALSE)</f>
        <v>119</v>
      </c>
      <c r="P33">
        <f>VLOOKUP(A33,budget!$A$5:$I$337,6,FALSE)</f>
        <v>0</v>
      </c>
      <c r="Q33">
        <f>VLOOKUP(A33,budget!$A$5:$I$337,7,FALSE)</f>
        <v>0</v>
      </c>
      <c r="R33" t="str">
        <f>VLOOKUP(A33,budget!$A$5:$I$337,8,FALSE)</f>
        <v>상시 무료 관람 (식음료 및 개인소모품비 제외)</v>
      </c>
      <c r="S33" t="str">
        <f>VLOOKUP(A33,budget!$A$5:$I$337,9,FALSE)</f>
        <v>http://place.map.kakao.com/8214139</v>
      </c>
      <c r="T33">
        <f>VLOOKUP(B33,api!$A$2:$R$334,17,FALSE)</f>
        <v>129.042332828057</v>
      </c>
      <c r="U33">
        <f>VLOOKUP(B33,api!$A$2:$R$334,18,FALSE)</f>
        <v>37.092536470446198</v>
      </c>
    </row>
    <row r="34" spans="1:21" x14ac:dyDescent="0.3">
      <c r="A34">
        <v>8713811</v>
      </c>
      <c r="B34" t="s">
        <v>32</v>
      </c>
      <c r="C34" t="str">
        <f>VLOOKUP(A34,budget!$A$5:$I$337,3,FALSE)</f>
        <v>국립가리왕산자연휴양림</v>
      </c>
      <c r="D34" t="str">
        <f>VLOOKUP(B34,api!$A$2:$R$334,2,FALSE)</f>
        <v>정선군</v>
      </c>
      <c r="E34" t="str">
        <f>VLOOKUP(B34,api!$A$2:$R$334,12,FALSE)</f>
        <v>강원특별자치도 정선군 정선읍 회동리 308-1</v>
      </c>
      <c r="F34" t="s">
        <v>226</v>
      </c>
      <c r="G34" t="str">
        <f>VLOOKUP(A34,budget!$A$5:$I$337,4,FALSE)</f>
        <v>휴양림/수목원</v>
      </c>
      <c r="H34" t="s">
        <v>799</v>
      </c>
      <c r="I34" t="s">
        <v>800</v>
      </c>
      <c r="J34" t="str">
        <f>VLOOKUP(A34,budget!$A$5:$I$337,5,FALSE)</f>
        <v>09:00 - 18:00 (화요일/월요일 휴무)</v>
      </c>
      <c r="K34" t="str">
        <f>VLOOKUP(B34,api!$A$2:$R$334,14,FALSE)</f>
        <v>033-562-5833</v>
      </c>
      <c r="L34" t="str">
        <f>VLOOKUP(B34,api!$A$2:$R$334,4,FALSE)</f>
        <v>https://www.foresttrip.go.kr/indvz/main.do?hmpgId=0113</v>
      </c>
      <c r="M34">
        <f>VLOOKUP(B34,api!$A$2:$R$334,5,FALSE)</f>
        <v>0</v>
      </c>
      <c r="N34">
        <f>VLOOKUP(B34,api!$A$2:$R$334,6,FALSE)</f>
        <v>0</v>
      </c>
      <c r="O34">
        <f>VLOOKUP(B34,api!$A$2:$R$334,7,FALSE)</f>
        <v>0</v>
      </c>
      <c r="P34">
        <f>VLOOKUP(A34,budget!$A$5:$I$337,6,FALSE)</f>
        <v>1000</v>
      </c>
      <c r="Q34">
        <f>VLOOKUP(A34,budget!$A$5:$I$337,7,FALSE)</f>
        <v>5000</v>
      </c>
      <c r="R34" t="str">
        <f>VLOOKUP(A34,budget!$A$5:$I$337,8,FALSE)</f>
        <v>국공립/민간 휴양림 입장료 기준 (숙박/체험비 제외)</v>
      </c>
      <c r="S34" t="str">
        <f>VLOOKUP(A34,budget!$A$5:$I$337,9,FALSE)</f>
        <v>http://place.map.kakao.com/8713811</v>
      </c>
      <c r="T34">
        <f>VLOOKUP(B34,api!$A$2:$R$334,17,FALSE)</f>
        <v>128.56963768816999</v>
      </c>
      <c r="U34">
        <f>VLOOKUP(B34,api!$A$2:$R$334,18,FALSE)</f>
        <v>37.426730712645103</v>
      </c>
    </row>
    <row r="35" spans="1:21" x14ac:dyDescent="0.3">
      <c r="A35">
        <v>581564680</v>
      </c>
      <c r="B35" t="s">
        <v>33</v>
      </c>
      <c r="C35" t="str">
        <f>VLOOKUP(A35,budget!$A$5:$I$337,3,FALSE)</f>
        <v>국립강원전문과학관</v>
      </c>
      <c r="D35" t="str">
        <f>VLOOKUP(B35,api!$A$2:$R$334,2,FALSE)</f>
        <v>원주시</v>
      </c>
      <c r="E35" t="str">
        <f>VLOOKUP(B35,api!$A$2:$R$334,12,FALSE)</f>
        <v>강원특별자치도 원주시 태장동 1191-6</v>
      </c>
      <c r="F35" t="s">
        <v>225</v>
      </c>
      <c r="G35" t="str">
        <f>VLOOKUP(A35,budget!$A$5:$I$337,4,FALSE)</f>
        <v>자연경관/자유관광지</v>
      </c>
      <c r="H35" t="s">
        <v>792</v>
      </c>
      <c r="I35" t="s">
        <v>793</v>
      </c>
      <c r="J35" t="str">
        <f>VLOOKUP(A35,budget!$A$5:$I$337,5,FALSE)</f>
        <v>상시 개방</v>
      </c>
      <c r="K35" t="str">
        <f>VLOOKUP(B35,api!$A$2:$R$334,14,FALSE)</f>
        <v>033-749-3500</v>
      </c>
      <c r="L35" t="str">
        <f>VLOOKUP(B35,api!$A$2:$R$334,4,FALSE)</f>
        <v>https://www.gwnsm.or.kr/</v>
      </c>
      <c r="M35">
        <f>VLOOKUP(B35,api!$A$2:$R$334,5,FALSE)</f>
        <v>3.2</v>
      </c>
      <c r="N35">
        <f>VLOOKUP(B35,api!$A$2:$R$334,6,FALSE)</f>
        <v>12</v>
      </c>
      <c r="O35">
        <f>VLOOKUP(B35,api!$A$2:$R$334,7,FALSE)</f>
        <v>176</v>
      </c>
      <c r="P35">
        <f>VLOOKUP(A35,budget!$A$5:$I$337,6,FALSE)</f>
        <v>0</v>
      </c>
      <c r="Q35">
        <f>VLOOKUP(A35,budget!$A$5:$I$337,7,FALSE)</f>
        <v>0</v>
      </c>
      <c r="R35" t="str">
        <f>VLOOKUP(A35,budget!$A$5:$I$337,8,FALSE)</f>
        <v>상시 무료 관람 (식음료 및 개인소모품비 제외)</v>
      </c>
      <c r="S35" t="str">
        <f>VLOOKUP(A35,budget!$A$5:$I$337,9,FALSE)</f>
        <v>http://place.map.kakao.com/581564680</v>
      </c>
      <c r="T35">
        <f>VLOOKUP(B35,api!$A$2:$R$334,17,FALSE)</f>
        <v>127.953387353555</v>
      </c>
      <c r="U35">
        <f>VLOOKUP(B35,api!$A$2:$R$334,18,FALSE)</f>
        <v>37.391378254220299</v>
      </c>
    </row>
    <row r="36" spans="1:21" x14ac:dyDescent="0.3">
      <c r="A36">
        <v>7879147</v>
      </c>
      <c r="B36" t="s">
        <v>34</v>
      </c>
      <c r="C36" t="str">
        <f>VLOOKUP(A36,budget!$A$5:$I$337,3,FALSE)</f>
        <v>국립미천골자연휴양림</v>
      </c>
      <c r="D36" t="str">
        <f>VLOOKUP(B36,api!$A$2:$R$334,2,FALSE)</f>
        <v>양양군</v>
      </c>
      <c r="E36" t="str">
        <f>VLOOKUP(B36,api!$A$2:$R$334,12,FALSE)</f>
        <v>강원특별자치도 양양군 서면 미천리 산 5</v>
      </c>
      <c r="F36" t="s">
        <v>226</v>
      </c>
      <c r="G36" t="str">
        <f>VLOOKUP(A36,budget!$A$5:$I$337,4,FALSE)</f>
        <v>휴양림/수목원</v>
      </c>
      <c r="H36" t="s">
        <v>799</v>
      </c>
      <c r="I36" t="s">
        <v>800</v>
      </c>
      <c r="J36" t="str">
        <f>VLOOKUP(A36,budget!$A$5:$I$337,5,FALSE)</f>
        <v>09:00 - 18:00 (화요일/월요일 휴무)</v>
      </c>
      <c r="K36" t="str">
        <f>VLOOKUP(B36,api!$A$2:$R$334,14,FALSE)</f>
        <v>033-673-1806</v>
      </c>
      <c r="L36" t="str">
        <f>VLOOKUP(B36,api!$A$2:$R$334,4,FALSE)</f>
        <v>https://www.foresttrip.go.kr/indvz/main.do?hmpgId=0112</v>
      </c>
      <c r="M36">
        <f>VLOOKUP(B36,api!$A$2:$R$334,5,FALSE)</f>
        <v>4.7</v>
      </c>
      <c r="N36">
        <f>VLOOKUP(B36,api!$A$2:$R$334,6,FALSE)</f>
        <v>32</v>
      </c>
      <c r="O36">
        <f>VLOOKUP(B36,api!$A$2:$R$334,7,FALSE)</f>
        <v>2</v>
      </c>
      <c r="P36">
        <f>VLOOKUP(A36,budget!$A$5:$I$337,6,FALSE)</f>
        <v>1000</v>
      </c>
      <c r="Q36">
        <f>VLOOKUP(A36,budget!$A$5:$I$337,7,FALSE)</f>
        <v>5000</v>
      </c>
      <c r="R36" t="str">
        <f>VLOOKUP(A36,budget!$A$5:$I$337,8,FALSE)</f>
        <v>국공립/민간 휴양림 입장료 기준 (숙박/체험비 제외)</v>
      </c>
      <c r="S36" t="str">
        <f>VLOOKUP(A36,budget!$A$5:$I$337,9,FALSE)</f>
        <v>http://place.map.kakao.com/7879147</v>
      </c>
      <c r="T36">
        <f>VLOOKUP(B36,api!$A$2:$R$334,17,FALSE)</f>
        <v>128.52805691882301</v>
      </c>
      <c r="U36">
        <f>VLOOKUP(B36,api!$A$2:$R$334,18,FALSE)</f>
        <v>37.939011790163001</v>
      </c>
    </row>
    <row r="37" spans="1:21" x14ac:dyDescent="0.3">
      <c r="A37">
        <v>10389516</v>
      </c>
      <c r="B37" t="s">
        <v>35</v>
      </c>
      <c r="C37" t="str">
        <f>VLOOKUP(A37,budget!$A$5:$I$337,3,FALSE)</f>
        <v>국립백운산자연휴양림</v>
      </c>
      <c r="D37" t="str">
        <f>VLOOKUP(B37,api!$A$2:$R$334,2,FALSE)</f>
        <v>원주시</v>
      </c>
      <c r="E37" t="str">
        <f>VLOOKUP(B37,api!$A$2:$R$334,12,FALSE)</f>
        <v>강원특별자치도 원주시 판부면 서곡리 1742-1</v>
      </c>
      <c r="F37" t="s">
        <v>226</v>
      </c>
      <c r="G37" t="str">
        <f>VLOOKUP(A37,budget!$A$5:$I$337,4,FALSE)</f>
        <v>휴양림/수목원</v>
      </c>
      <c r="H37" t="s">
        <v>799</v>
      </c>
      <c r="I37" t="s">
        <v>800</v>
      </c>
      <c r="J37" t="str">
        <f>VLOOKUP(A37,budget!$A$5:$I$337,5,FALSE)</f>
        <v>09:00 - 18:00 (화요일/월요일 휴무)</v>
      </c>
      <c r="K37" t="str">
        <f>VLOOKUP(B37,api!$A$2:$R$334,14,FALSE)</f>
        <v>033-766-1063</v>
      </c>
      <c r="L37" t="str">
        <f>VLOOKUP(B37,api!$A$2:$R$334,4,FALSE)</f>
        <v>https://www.foresttrip.go.kr/indvz/main.do?hmpgId=0223</v>
      </c>
      <c r="M37">
        <f>VLOOKUP(B37,api!$A$2:$R$334,5,FALSE)</f>
        <v>3.6</v>
      </c>
      <c r="N37">
        <f>VLOOKUP(B37,api!$A$2:$R$334,6,FALSE)</f>
        <v>19</v>
      </c>
      <c r="O37">
        <f>VLOOKUP(B37,api!$A$2:$R$334,7,FALSE)</f>
        <v>8</v>
      </c>
      <c r="P37">
        <f>VLOOKUP(A37,budget!$A$5:$I$337,6,FALSE)</f>
        <v>1000</v>
      </c>
      <c r="Q37">
        <f>VLOOKUP(A37,budget!$A$5:$I$337,7,FALSE)</f>
        <v>5000</v>
      </c>
      <c r="R37" t="str">
        <f>VLOOKUP(A37,budget!$A$5:$I$337,8,FALSE)</f>
        <v>국공립/민간 휴양림 입장료 기준 (숙박/체험비 제외)</v>
      </c>
      <c r="S37" t="str">
        <f>VLOOKUP(A37,budget!$A$5:$I$337,9,FALSE)</f>
        <v>http://place.map.kakao.com/10389516</v>
      </c>
      <c r="T37">
        <f>VLOOKUP(B37,api!$A$2:$R$334,17,FALSE)</f>
        <v>127.941566233263</v>
      </c>
      <c r="U37">
        <f>VLOOKUP(B37,api!$A$2:$R$334,18,FALSE)</f>
        <v>37.2715607740408</v>
      </c>
    </row>
    <row r="38" spans="1:21" x14ac:dyDescent="0.3">
      <c r="A38">
        <v>8208782</v>
      </c>
      <c r="B38" t="s">
        <v>36</v>
      </c>
      <c r="C38" t="str">
        <f>VLOOKUP(A38,budget!$A$5:$I$337,3,FALSE)</f>
        <v>국립춘천박물관</v>
      </c>
      <c r="D38" t="str">
        <f>VLOOKUP(B38,api!$A$2:$R$334,2,FALSE)</f>
        <v>춘천시</v>
      </c>
      <c r="E38" t="str">
        <f>VLOOKUP(B38,api!$A$2:$R$334,12,FALSE)</f>
        <v>강원특별자치도 춘천시 석사동 95-3</v>
      </c>
      <c r="F38" t="s">
        <v>225</v>
      </c>
      <c r="G38" t="str">
        <f>VLOOKUP(A38,budget!$A$5:$I$337,4,FALSE)</f>
        <v>국공립 박물관/기념관</v>
      </c>
      <c r="H38" t="s">
        <v>792</v>
      </c>
      <c r="I38" t="s">
        <v>793</v>
      </c>
      <c r="J38" t="str">
        <f>VLOOKUP(A38,budget!$A$5:$I$337,5,FALSE)</f>
        <v>09:00 - 18:00 (월요일 휴무)</v>
      </c>
      <c r="K38" t="str">
        <f>VLOOKUP(B38,api!$A$2:$R$334,14,FALSE)</f>
        <v>033-260-1500</v>
      </c>
      <c r="L38" t="str">
        <f>VLOOKUP(B38,api!$A$2:$R$334,4,FALSE)</f>
        <v>https://chuncheon.museum.go.kr/</v>
      </c>
      <c r="M38">
        <f>VLOOKUP(B38,api!$A$2:$R$334,5,FALSE)</f>
        <v>4.5999999999999996</v>
      </c>
      <c r="N38">
        <f>VLOOKUP(B38,api!$A$2:$R$334,6,FALSE)</f>
        <v>63</v>
      </c>
      <c r="O38">
        <f>VLOOKUP(B38,api!$A$2:$R$334,7,FALSE)</f>
        <v>841</v>
      </c>
      <c r="P38">
        <f>VLOOKUP(A38,budget!$A$5:$I$337,6,FALSE)</f>
        <v>0</v>
      </c>
      <c r="Q38">
        <f>VLOOKUP(A38,budget!$A$5:$I$337,7,FALSE)</f>
        <v>3000</v>
      </c>
      <c r="R38" t="str">
        <f>VLOOKUP(A38,budget!$A$5:$I$337,8,FALSE)</f>
        <v>국공립 시설 무료 관람 또는 대인 기준 정가</v>
      </c>
      <c r="S38" t="str">
        <f>VLOOKUP(A38,budget!$A$5:$I$337,9,FALSE)</f>
        <v>http://place.map.kakao.com/8208782</v>
      </c>
      <c r="T38">
        <f>VLOOKUP(B38,api!$A$2:$R$334,17,FALSE)</f>
        <v>127.753781626171</v>
      </c>
      <c r="U38">
        <f>VLOOKUP(B38,api!$A$2:$R$334,18,FALSE)</f>
        <v>37.864058864911399</v>
      </c>
    </row>
    <row r="39" spans="1:21" x14ac:dyDescent="0.3">
      <c r="A39">
        <v>1158129196</v>
      </c>
      <c r="B39" t="s">
        <v>37</v>
      </c>
      <c r="C39" t="str">
        <f>VLOOKUP(A39,budget!$A$5:$I$337,3,FALSE)</f>
        <v>국립춘천숲체원</v>
      </c>
      <c r="D39" t="str">
        <f>VLOOKUP(B39,api!$A$2:$R$334,2,FALSE)</f>
        <v>춘천시</v>
      </c>
      <c r="E39" t="str">
        <f>VLOOKUP(B39,api!$A$2:$R$334,12,FALSE)</f>
        <v>강원특별자치도 춘천시 신북읍 발산리 산 32-1</v>
      </c>
      <c r="F39" t="s">
        <v>226</v>
      </c>
      <c r="G39" t="str">
        <f>VLOOKUP(A39,budget!$A$5:$I$337,4,FALSE)</f>
        <v>휴양림/수목원</v>
      </c>
      <c r="J39" t="str">
        <f>VLOOKUP(A39,budget!$A$5:$I$337,5,FALSE)</f>
        <v>09:00 - 18:00 (화요일/월요일 휴무)</v>
      </c>
      <c r="K39" t="str">
        <f>VLOOKUP(B39,api!$A$2:$R$334,14,FALSE)</f>
        <v>033-260-5800</v>
      </c>
      <c r="L39" t="str">
        <f>VLOOKUP(B39,api!$A$2:$R$334,4,FALSE)</f>
        <v>https://ccfowi.modoo.at/</v>
      </c>
      <c r="M39">
        <f>VLOOKUP(B39,api!$A$2:$R$334,5,FALSE)</f>
        <v>4.0999999999999996</v>
      </c>
      <c r="N39">
        <f>VLOOKUP(B39,api!$A$2:$R$334,6,FALSE)</f>
        <v>9</v>
      </c>
      <c r="O39">
        <f>VLOOKUP(B39,api!$A$2:$R$334,7,FALSE)</f>
        <v>86</v>
      </c>
      <c r="P39">
        <f>VLOOKUP(A39,budget!$A$5:$I$337,6,FALSE)</f>
        <v>1000</v>
      </c>
      <c r="Q39">
        <f>VLOOKUP(A39,budget!$A$5:$I$337,7,FALSE)</f>
        <v>5000</v>
      </c>
      <c r="R39" t="str">
        <f>VLOOKUP(A39,budget!$A$5:$I$337,8,FALSE)</f>
        <v>국공립/민간 휴양림 입장료 기준 (숙박/체험비 제외)</v>
      </c>
      <c r="S39" t="str">
        <f>VLOOKUP(A39,budget!$A$5:$I$337,9,FALSE)</f>
        <v>http://place.map.kakao.com/1158129196</v>
      </c>
      <c r="T39">
        <f>VLOOKUP(B39,api!$A$2:$R$334,17,FALSE)</f>
        <v>127.771814341069</v>
      </c>
      <c r="U39">
        <f>VLOOKUP(B39,api!$A$2:$R$334,18,FALSE)</f>
        <v>37.980285205383403</v>
      </c>
    </row>
    <row r="40" spans="1:21" x14ac:dyDescent="0.3">
      <c r="A40">
        <v>24505294</v>
      </c>
      <c r="B40" t="s">
        <v>38</v>
      </c>
      <c r="C40" t="str">
        <f>VLOOKUP(A40,budget!$A$5:$I$337,3,FALSE)</f>
        <v>국립횡성숲체원</v>
      </c>
      <c r="D40" t="str">
        <f>VLOOKUP(B40,api!$A$2:$R$334,2,FALSE)</f>
        <v>횡성군</v>
      </c>
      <c r="E40" t="str">
        <f>VLOOKUP(B40,api!$A$2:$R$334,12,FALSE)</f>
        <v>강원특별자치도 횡성군 둔내면 삽교리 1767-10</v>
      </c>
      <c r="F40" t="s">
        <v>226</v>
      </c>
      <c r="G40" t="str">
        <f>VLOOKUP(A40,budget!$A$5:$I$337,4,FALSE)</f>
        <v>휴양림/수목원</v>
      </c>
      <c r="H40" t="s">
        <v>799</v>
      </c>
      <c r="I40" t="s">
        <v>800</v>
      </c>
      <c r="J40" t="str">
        <f>VLOOKUP(A40,budget!$A$5:$I$337,5,FALSE)</f>
        <v>09:00 - 18:00 (화요일/월요일 휴무)</v>
      </c>
      <c r="K40" t="str">
        <f>VLOOKUP(B40,api!$A$2:$R$334,14,FALSE)</f>
        <v>033-340-6300</v>
      </c>
      <c r="L40" t="str">
        <f>VLOOKUP(B40,api!$A$2:$R$334,4,FALSE)</f>
        <v>https://hoengseong.fowi.or.kr/</v>
      </c>
      <c r="M40">
        <f>VLOOKUP(B40,api!$A$2:$R$334,5,FALSE)</f>
        <v>4.5</v>
      </c>
      <c r="N40">
        <f>VLOOKUP(B40,api!$A$2:$R$334,6,FALSE)</f>
        <v>45</v>
      </c>
      <c r="O40">
        <f>VLOOKUP(B40,api!$A$2:$R$334,7,FALSE)</f>
        <v>188</v>
      </c>
      <c r="P40">
        <f>VLOOKUP(A40,budget!$A$5:$I$337,6,FALSE)</f>
        <v>1000</v>
      </c>
      <c r="Q40">
        <f>VLOOKUP(A40,budget!$A$5:$I$337,7,FALSE)</f>
        <v>5000</v>
      </c>
      <c r="R40" t="str">
        <f>VLOOKUP(A40,budget!$A$5:$I$337,8,FALSE)</f>
        <v>국공립/민간 휴양림 입장료 기준 (숙박/체험비 제외)</v>
      </c>
      <c r="S40" t="str">
        <f>VLOOKUP(A40,budget!$A$5:$I$337,9,FALSE)</f>
        <v>http://place.map.kakao.com/24505294</v>
      </c>
      <c r="T40">
        <f>VLOOKUP(B40,api!$A$2:$R$334,17,FALSE)</f>
        <v>128.29146025892101</v>
      </c>
      <c r="U40">
        <f>VLOOKUP(B40,api!$A$2:$R$334,18,FALSE)</f>
        <v>37.536862044557701</v>
      </c>
    </row>
    <row r="41" spans="1:21" x14ac:dyDescent="0.3">
      <c r="A41">
        <v>10134258</v>
      </c>
      <c r="B41" t="s">
        <v>39</v>
      </c>
      <c r="C41" t="str">
        <f>VLOOKUP(A41,budget!$A$5:$I$337,3,FALSE)</f>
        <v>국토정중앙천문대</v>
      </c>
      <c r="D41" t="str">
        <f>VLOOKUP(B41,api!$A$2:$R$334,2,FALSE)</f>
        <v>양구군</v>
      </c>
      <c r="E41" t="str">
        <f>VLOOKUP(B41,api!$A$2:$R$334,12,FALSE)</f>
        <v>강원특별자치도 양구군 국토정중앙면 도촌리 98</v>
      </c>
      <c r="F41" t="s">
        <v>225</v>
      </c>
      <c r="G41" t="str">
        <f>VLOOKUP(A41,budget!$A$5:$I$337,4,FALSE)</f>
        <v>문화/전람/동굴/전망시설</v>
      </c>
      <c r="H41" t="s">
        <v>799</v>
      </c>
      <c r="I41" t="s">
        <v>800</v>
      </c>
      <c r="J41" t="str">
        <f>VLOOKUP(A41,budget!$A$5:$I$337,5,FALSE)</f>
        <v>09:00 - 18:00 (입장마감 17:00, 월요일 휴무)</v>
      </c>
      <c r="K41" t="str">
        <f>VLOOKUP(B41,api!$A$2:$R$334,14,FALSE)</f>
        <v>033-480-7257</v>
      </c>
      <c r="L41" t="str">
        <f>VLOOKUP(B41,api!$A$2:$R$334,4,FALSE)</f>
        <v>https://www.ygtour.kr/Home/index</v>
      </c>
      <c r="M41">
        <f>VLOOKUP(B41,api!$A$2:$R$334,5,FALSE)</f>
        <v>0</v>
      </c>
      <c r="N41">
        <f>VLOOKUP(B41,api!$A$2:$R$334,6,FALSE)</f>
        <v>30</v>
      </c>
      <c r="O41">
        <f>VLOOKUP(B41,api!$A$2:$R$334,7,FALSE)</f>
        <v>41</v>
      </c>
      <c r="P41">
        <f>VLOOKUP(A41,budget!$A$5:$I$337,6,FALSE)</f>
        <v>2000</v>
      </c>
      <c r="Q41">
        <f>VLOOKUP(A41,budget!$A$5:$I$337,7,FALSE)</f>
        <v>10000</v>
      </c>
      <c r="R41" t="str">
        <f>VLOOKUP(A41,budget!$A$5:$I$337,8,FALSE)</f>
        <v>대인 관람료 및 전망대/스카이워크 이용료 기준</v>
      </c>
      <c r="S41" t="str">
        <f>VLOOKUP(A41,budget!$A$5:$I$337,9,FALSE)</f>
        <v>http://place.map.kakao.com/10134258</v>
      </c>
      <c r="T41">
        <f>VLOOKUP(B41,api!$A$2:$R$334,17,FALSE)</f>
        <v>128.02967068010699</v>
      </c>
      <c r="U41">
        <f>VLOOKUP(B41,api!$A$2:$R$334,18,FALSE)</f>
        <v>38.068905839166902</v>
      </c>
    </row>
    <row r="42" spans="1:21" x14ac:dyDescent="0.3">
      <c r="A42">
        <v>8696982</v>
      </c>
      <c r="B42" t="s">
        <v>40</v>
      </c>
      <c r="C42" t="str">
        <f>VLOOKUP(A42,budget!$A$5:$I$337,3,FALSE)</f>
        <v>금강산 화암사</v>
      </c>
      <c r="D42" t="str">
        <f>VLOOKUP(B42,api!$A$2:$R$334,2,FALSE)</f>
        <v>고성군</v>
      </c>
      <c r="E42" t="str">
        <f>VLOOKUP(B42,api!$A$2:$R$334,12,FALSE)</f>
        <v>강원특별자치도 고성군 토성면 신평리 772-2</v>
      </c>
      <c r="F42" t="s">
        <v>226</v>
      </c>
      <c r="G42" t="str">
        <f>VLOOKUP(A42,budget!$A$5:$I$337,4,FALSE)</f>
        <v>자연경관/자유관광지</v>
      </c>
      <c r="J42" t="str">
        <f>VLOOKUP(A42,budget!$A$5:$I$337,5,FALSE)</f>
        <v>24시간 연중무휴 (자유 방문)</v>
      </c>
      <c r="K42" t="str">
        <f>VLOOKUP(B42,api!$A$2:$R$334,14,FALSE)</f>
        <v>033-633-1525</v>
      </c>
      <c r="L42" t="str">
        <f>VLOOKUP(B42,api!$A$2:$R$334,4,FALSE)</f>
        <v>https://www.gwgs.go.kr/tour/index.do</v>
      </c>
      <c r="M42">
        <f>VLOOKUP(B42,api!$A$2:$R$334,5,FALSE)</f>
        <v>4.5</v>
      </c>
      <c r="N42">
        <f>VLOOKUP(B42,api!$A$2:$R$334,6,FALSE)</f>
        <v>70</v>
      </c>
      <c r="O42">
        <f>VLOOKUP(B42,api!$A$2:$R$334,7,FALSE)</f>
        <v>400</v>
      </c>
      <c r="P42">
        <f>VLOOKUP(A42,budget!$A$5:$I$337,6,FALSE)</f>
        <v>0</v>
      </c>
      <c r="Q42">
        <f>VLOOKUP(A42,budget!$A$5:$I$337,7,FALSE)</f>
        <v>0</v>
      </c>
      <c r="R42" t="str">
        <f>VLOOKUP(A42,budget!$A$5:$I$337,8,FALSE)</f>
        <v>상시 무료 관람 (식음료 및 개인소모품비 제외)</v>
      </c>
      <c r="S42" t="str">
        <f>VLOOKUP(A42,budget!$A$5:$I$337,9,FALSE)</f>
        <v>http://place.map.kakao.com/8696982</v>
      </c>
      <c r="T42">
        <f>VLOOKUP(B42,api!$A$2:$R$334,17,FALSE)</f>
        <v>128.47020504657601</v>
      </c>
      <c r="U42">
        <f>VLOOKUP(B42,api!$A$2:$R$334,18,FALSE)</f>
        <v>38.227005969353101</v>
      </c>
    </row>
    <row r="43" spans="1:21" x14ac:dyDescent="0.3">
      <c r="A43">
        <v>10195101</v>
      </c>
      <c r="B43" t="s">
        <v>41</v>
      </c>
      <c r="C43" t="str">
        <f>VLOOKUP(A43,budget!$A$5:$I$337,3,FALSE)</f>
        <v>난고 김삿갓문학관</v>
      </c>
      <c r="D43" t="str">
        <f>VLOOKUP(B43,api!$A$2:$R$334,2,FALSE)</f>
        <v>영월군</v>
      </c>
      <c r="E43" t="str">
        <f>VLOOKUP(B43,api!$A$2:$R$334,12,FALSE)</f>
        <v>강원특별자치도 영월군 김삿갓면 와석리 913-1</v>
      </c>
      <c r="F43" t="s">
        <v>225</v>
      </c>
      <c r="G43" t="str">
        <f>VLOOKUP(A43,budget!$A$5:$I$337,4,FALSE)</f>
        <v>국공립 박물관/기념관</v>
      </c>
      <c r="H43" t="s">
        <v>792</v>
      </c>
      <c r="I43" t="s">
        <v>793</v>
      </c>
      <c r="J43" t="str">
        <f>VLOOKUP(A43,budget!$A$5:$I$337,5,FALSE)</f>
        <v>09:00 - 18:00 (월요일 휴무)</v>
      </c>
      <c r="K43" t="str">
        <f>VLOOKUP(B43,api!$A$2:$R$334,14,FALSE)</f>
        <v>033-375-7900</v>
      </c>
      <c r="L43" t="str">
        <f>VLOOKUP(B43,api!$A$2:$R$334,4,FALSE)</f>
        <v>https://www.yw.go.kr/tour/index.do#lastPage</v>
      </c>
      <c r="M43">
        <f>VLOOKUP(B43,api!$A$2:$R$334,5,FALSE)</f>
        <v>3.4</v>
      </c>
      <c r="N43">
        <f>VLOOKUP(B43,api!$A$2:$R$334,6,FALSE)</f>
        <v>12</v>
      </c>
      <c r="O43">
        <f>VLOOKUP(B43,api!$A$2:$R$334,7,FALSE)</f>
        <v>55</v>
      </c>
      <c r="P43">
        <f>VLOOKUP(A43,budget!$A$5:$I$337,6,FALSE)</f>
        <v>0</v>
      </c>
      <c r="Q43">
        <f>VLOOKUP(A43,budget!$A$5:$I$337,7,FALSE)</f>
        <v>3000</v>
      </c>
      <c r="R43" t="str">
        <f>VLOOKUP(A43,budget!$A$5:$I$337,8,FALSE)</f>
        <v>국공립 시설 무료 관람 또는 대인 기준 정가</v>
      </c>
      <c r="S43" t="str">
        <f>VLOOKUP(A43,budget!$A$5:$I$337,9,FALSE)</f>
        <v>http://place.map.kakao.com/10195101</v>
      </c>
      <c r="T43">
        <f>VLOOKUP(B43,api!$A$2:$R$334,17,FALSE)</f>
        <v>128.601761167126</v>
      </c>
      <c r="U43">
        <f>VLOOKUP(B43,api!$A$2:$R$334,18,FALSE)</f>
        <v>37.079488430605998</v>
      </c>
    </row>
    <row r="44" spans="1:21" x14ac:dyDescent="0.3">
      <c r="A44">
        <v>8239112</v>
      </c>
      <c r="B44" t="s">
        <v>42</v>
      </c>
      <c r="C44" t="str">
        <f>VLOOKUP(A44,budget!$A$5:$I$337,3,FALSE)</f>
        <v>김삿갓유적지</v>
      </c>
      <c r="D44" t="str">
        <f>VLOOKUP(B44,api!$A$2:$R$334,2,FALSE)</f>
        <v>영월군</v>
      </c>
      <c r="E44" t="str">
        <f>VLOOKUP(B44,api!$A$2:$R$334,12,FALSE)</f>
        <v>강원특별자치도 영월군 김삿갓면 와석리 897-2</v>
      </c>
      <c r="F44" t="s">
        <v>226</v>
      </c>
      <c r="G44" t="str">
        <f>VLOOKUP(A44,budget!$A$5:$I$337,4,FALSE)</f>
        <v>자연경관/자유관광지</v>
      </c>
      <c r="J44" t="str">
        <f>VLOOKUP(A44,budget!$A$5:$I$337,5,FALSE)</f>
        <v>상시 개방</v>
      </c>
      <c r="K44" t="str">
        <f>VLOOKUP(B44,api!$A$2:$R$334,14,FALSE)</f>
        <v>033-375-7900</v>
      </c>
      <c r="L44" t="str">
        <f>VLOOKUP(B44,api!$A$2:$R$334,4,FALSE)</f>
        <v>https://www.yw.go.kr/tour/index.do#lastPage</v>
      </c>
      <c r="M44">
        <f>VLOOKUP(B44,api!$A$2:$R$334,5,FALSE)</f>
        <v>4</v>
      </c>
      <c r="N44">
        <f>VLOOKUP(B44,api!$A$2:$R$334,6,FALSE)</f>
        <v>9</v>
      </c>
      <c r="O44">
        <f>VLOOKUP(B44,api!$A$2:$R$334,7,FALSE)</f>
        <v>5</v>
      </c>
      <c r="P44">
        <f>VLOOKUP(A44,budget!$A$5:$I$337,6,FALSE)</f>
        <v>0</v>
      </c>
      <c r="Q44">
        <f>VLOOKUP(A44,budget!$A$5:$I$337,7,FALSE)</f>
        <v>0</v>
      </c>
      <c r="R44" t="str">
        <f>VLOOKUP(A44,budget!$A$5:$I$337,8,FALSE)</f>
        <v>상시 무료 관람 (식음료 및 개인소모품비 제외)</v>
      </c>
      <c r="S44" t="str">
        <f>VLOOKUP(A44,budget!$A$5:$I$337,9,FALSE)</f>
        <v>http://place.map.kakao.com/8239112</v>
      </c>
      <c r="T44">
        <f>VLOOKUP(B44,api!$A$2:$R$334,17,FALSE)</f>
        <v>128.60205704891101</v>
      </c>
      <c r="U44">
        <f>VLOOKUP(B44,api!$A$2:$R$334,18,FALSE)</f>
        <v>37.083288341253798</v>
      </c>
    </row>
    <row r="45" spans="1:21" x14ac:dyDescent="0.3">
      <c r="A45">
        <v>1641336553</v>
      </c>
      <c r="B45" t="s">
        <v>43</v>
      </c>
      <c r="C45" t="str">
        <f>VLOOKUP(A45,budget!$A$5:$I$337,3,FALSE)</f>
        <v>김유정문학촌</v>
      </c>
      <c r="D45" t="str">
        <f>VLOOKUP(B45,api!$A$2:$R$334,2,FALSE)</f>
        <v>춘천시</v>
      </c>
      <c r="E45" t="str">
        <f>VLOOKUP(B45,api!$A$2:$R$334,12,FALSE)</f>
        <v>강원특별자치도 춘천시 신동면 증리 914-1</v>
      </c>
      <c r="F45" t="s">
        <v>226</v>
      </c>
      <c r="G45" t="str">
        <f>VLOOKUP(A45,budget!$A$5:$I$337,4,FALSE)</f>
        <v>문화/전람/동굴/전망시설</v>
      </c>
      <c r="J45" t="str">
        <f>VLOOKUP(A45,budget!$A$5:$I$337,5,FALSE)</f>
        <v>09:00 - 18:00 (입장마감 17:00, 월요일 휴무)</v>
      </c>
      <c r="K45" t="str">
        <f>VLOOKUP(B45,api!$A$2:$R$334,14,FALSE)</f>
        <v>033-261-4650</v>
      </c>
      <c r="L45" t="str">
        <f>VLOOKUP(B45,api!$A$2:$R$334,4,FALSE)</f>
        <v>http://www.kimyoujeong.org/</v>
      </c>
      <c r="M45">
        <f>VLOOKUP(B45,api!$A$2:$R$334,5,FALSE)</f>
        <v>3.9</v>
      </c>
      <c r="N45">
        <f>VLOOKUP(B45,api!$A$2:$R$334,6,FALSE)</f>
        <v>44</v>
      </c>
      <c r="O45">
        <f>VLOOKUP(B45,api!$A$2:$R$334,7,FALSE)</f>
        <v>207</v>
      </c>
      <c r="P45">
        <f>VLOOKUP(A45,budget!$A$5:$I$337,6,FALSE)</f>
        <v>2000</v>
      </c>
      <c r="Q45">
        <f>VLOOKUP(A45,budget!$A$5:$I$337,7,FALSE)</f>
        <v>10000</v>
      </c>
      <c r="R45" t="str">
        <f>VLOOKUP(A45,budget!$A$5:$I$337,8,FALSE)</f>
        <v>대인 관람료 및 전망대/스카이워크 이용료 기준</v>
      </c>
      <c r="S45" t="str">
        <f>VLOOKUP(A45,budget!$A$5:$I$337,9,FALSE)</f>
        <v>http://place.map.kakao.com/1641336553</v>
      </c>
      <c r="T45">
        <f>VLOOKUP(B45,api!$A$2:$R$334,17,FALSE)</f>
        <v>127.717738775464</v>
      </c>
      <c r="U45">
        <f>VLOOKUP(B45,api!$A$2:$R$334,18,FALSE)</f>
        <v>37.818302116871898</v>
      </c>
    </row>
    <row r="46" spans="1:21" x14ac:dyDescent="0.3">
      <c r="A46">
        <v>8013497</v>
      </c>
      <c r="B46" t="s">
        <v>44</v>
      </c>
      <c r="C46" t="str">
        <f>VLOOKUP(A46,budget!$A$5:$I$337,3,FALSE)</f>
        <v>화진포의성 김일성별장</v>
      </c>
      <c r="D46" t="str">
        <f>VLOOKUP(B46,api!$A$2:$R$334,2,FALSE)</f>
        <v>고성군</v>
      </c>
      <c r="E46" t="str">
        <f>VLOOKUP(B46,api!$A$2:$R$334,12,FALSE)</f>
        <v>강원특별자치도 고성군 거진읍 화포리 606-1</v>
      </c>
      <c r="F46" t="s">
        <v>225</v>
      </c>
      <c r="G46" t="str">
        <f>VLOOKUP(A46,budget!$A$5:$I$337,4,FALSE)</f>
        <v>자연경관/자유관광지</v>
      </c>
      <c r="H46" t="s">
        <v>792</v>
      </c>
      <c r="I46" t="s">
        <v>793</v>
      </c>
      <c r="J46" t="str">
        <f>VLOOKUP(A46,budget!$A$5:$I$337,5,FALSE)</f>
        <v>상시 개방</v>
      </c>
      <c r="K46" t="str">
        <f>VLOOKUP(B46,api!$A$2:$R$334,14,FALSE)</f>
        <v>033-680-3469</v>
      </c>
      <c r="L46" t="str">
        <f>VLOOKUP(B46,api!$A$2:$R$334,4,FALSE)</f>
        <v>https://www.gwgs.go.kr/tour/</v>
      </c>
      <c r="M46">
        <f>VLOOKUP(B46,api!$A$2:$R$334,5,FALSE)</f>
        <v>2.8</v>
      </c>
      <c r="N46">
        <f>VLOOKUP(B46,api!$A$2:$R$334,6,FALSE)</f>
        <v>63</v>
      </c>
      <c r="O46">
        <f>VLOOKUP(B46,api!$A$2:$R$334,7,FALSE)</f>
        <v>108</v>
      </c>
      <c r="P46">
        <f>VLOOKUP(A46,budget!$A$5:$I$337,6,FALSE)</f>
        <v>0</v>
      </c>
      <c r="Q46">
        <f>VLOOKUP(A46,budget!$A$5:$I$337,7,FALSE)</f>
        <v>0</v>
      </c>
      <c r="R46" t="str">
        <f>VLOOKUP(A46,budget!$A$5:$I$337,8,FALSE)</f>
        <v>상시 무료 관람 (식음료 및 개인소모품비 제외)</v>
      </c>
      <c r="S46" t="str">
        <f>VLOOKUP(A46,budget!$A$5:$I$337,9,FALSE)</f>
        <v>http://place.map.kakao.com/8013497</v>
      </c>
      <c r="T46">
        <f>VLOOKUP(B46,api!$A$2:$R$334,17,FALSE)</f>
        <v>128.44363125255799</v>
      </c>
      <c r="U46">
        <f>VLOOKUP(B46,api!$A$2:$R$334,18,FALSE)</f>
        <v>38.474256642000903</v>
      </c>
    </row>
    <row r="47" spans="1:21" x14ac:dyDescent="0.3">
      <c r="A47">
        <v>291863218</v>
      </c>
      <c r="B47" t="s">
        <v>45</v>
      </c>
      <c r="C47" t="str">
        <f>VLOOKUP(A47,budget!$A$5:$I$337,3,FALSE)</f>
        <v>나전역카페</v>
      </c>
      <c r="D47" t="str">
        <f>VLOOKUP(B47,api!$A$2:$R$334,2,FALSE)</f>
        <v>정선군</v>
      </c>
      <c r="E47" t="str">
        <f>VLOOKUP(B47,api!$A$2:$R$334,12,FALSE)</f>
        <v>강원특별자치도 정선군 북평면 북평리 244-5</v>
      </c>
      <c r="F47" t="s">
        <v>225</v>
      </c>
      <c r="G47" t="str">
        <f>VLOOKUP(A47,budget!$A$5:$I$337,4,FALSE)</f>
        <v>자연경관/자유관광지</v>
      </c>
      <c r="H47" t="s">
        <v>994</v>
      </c>
      <c r="I47" t="s">
        <v>995</v>
      </c>
      <c r="J47" t="str">
        <f>VLOOKUP(A47,budget!$A$5:$I$337,5,FALSE)</f>
        <v>상시 개방</v>
      </c>
      <c r="K47" t="str">
        <f>VLOOKUP(B47,api!$A$2:$R$334,14,FALSE)</f>
        <v>0503-7150-1283</v>
      </c>
      <c r="L47" t="str">
        <f>VLOOKUP(B47,api!$A$2:$R$334,4,FALSE)</f>
        <v>https://www.instagram.com/najeoncafe/</v>
      </c>
      <c r="M47">
        <f>VLOOKUP(B47,api!$A$2:$R$334,5,FALSE)</f>
        <v>4.4000000000000004</v>
      </c>
      <c r="N47">
        <f>VLOOKUP(B47,api!$A$2:$R$334,6,FALSE)</f>
        <v>40</v>
      </c>
      <c r="O47">
        <f>VLOOKUP(B47,api!$A$2:$R$334,7,FALSE)</f>
        <v>309</v>
      </c>
      <c r="P47">
        <f>VLOOKUP(A47,budget!$A$5:$I$337,6,FALSE)</f>
        <v>0</v>
      </c>
      <c r="Q47">
        <f>VLOOKUP(A47,budget!$A$5:$I$337,7,FALSE)</f>
        <v>0</v>
      </c>
      <c r="R47" t="str">
        <f>VLOOKUP(A47,budget!$A$5:$I$337,8,FALSE)</f>
        <v>상시 무료 관람 (식음료 및 개인소모품비 제외)</v>
      </c>
      <c r="S47" t="str">
        <f>VLOOKUP(A47,budget!$A$5:$I$337,9,FALSE)</f>
        <v>http://place.map.kakao.com/291863218</v>
      </c>
      <c r="T47">
        <f>VLOOKUP(B47,api!$A$2:$R$334,17,FALSE)</f>
        <v>128.668310055604</v>
      </c>
      <c r="U47">
        <f>VLOOKUP(B47,api!$A$2:$R$334,18,FALSE)</f>
        <v>37.4498244324949</v>
      </c>
    </row>
    <row r="48" spans="1:21" x14ac:dyDescent="0.3">
      <c r="A48">
        <v>18059918</v>
      </c>
      <c r="B48" t="s">
        <v>46</v>
      </c>
      <c r="C48" t="str">
        <f>VLOOKUP(A48,budget!$A$5:$I$337,3,FALSE)</f>
        <v>낙산사 홍련암</v>
      </c>
      <c r="D48" t="str">
        <f>VLOOKUP(B48,api!$A$2:$R$334,2,FALSE)</f>
        <v>양양군</v>
      </c>
      <c r="E48" t="str">
        <f>VLOOKUP(B48,api!$A$2:$R$334,12,FALSE)</f>
        <v>강원특별자치도 양양군 강현면 전진리 57-2</v>
      </c>
      <c r="F48" t="s">
        <v>226</v>
      </c>
      <c r="G48" t="str">
        <f>VLOOKUP(A48,budget!$A$5:$I$337,4,FALSE)</f>
        <v>자연경관/자유관광지</v>
      </c>
      <c r="J48" t="str">
        <f>VLOOKUP(A48,budget!$A$5:$I$337,5,FALSE)</f>
        <v>24시간 연중무휴 (자유 방문)</v>
      </c>
      <c r="K48" t="str">
        <f>VLOOKUP(B48,api!$A$2:$R$334,14,FALSE)</f>
        <v>033-672-2478</v>
      </c>
      <c r="L48" t="str">
        <f>VLOOKUP(B48,api!$A$2:$R$334,4,FALSE)</f>
        <v>http://www.naksansa.or.kr/web/home.php</v>
      </c>
      <c r="M48">
        <f>VLOOKUP(B48,api!$A$2:$R$334,5,FALSE)</f>
        <v>4.7</v>
      </c>
      <c r="N48">
        <f>VLOOKUP(B48,api!$A$2:$R$334,6,FALSE)</f>
        <v>48</v>
      </c>
      <c r="O48">
        <f>VLOOKUP(B48,api!$A$2:$R$334,7,FALSE)</f>
        <v>4</v>
      </c>
      <c r="P48">
        <f>VLOOKUP(A48,budget!$A$5:$I$337,6,FALSE)</f>
        <v>0</v>
      </c>
      <c r="Q48">
        <f>VLOOKUP(A48,budget!$A$5:$I$337,7,FALSE)</f>
        <v>0</v>
      </c>
      <c r="R48" t="str">
        <f>VLOOKUP(A48,budget!$A$5:$I$337,8,FALSE)</f>
        <v>상시 무료 관람 (식음료 및 개인소모품비 제외)</v>
      </c>
      <c r="S48" t="str">
        <f>VLOOKUP(A48,budget!$A$5:$I$337,9,FALSE)</f>
        <v>http://place.map.kakao.com/18059918</v>
      </c>
      <c r="T48">
        <f>VLOOKUP(B48,api!$A$2:$R$334,17,FALSE)</f>
        <v>128.62977835488701</v>
      </c>
      <c r="U48">
        <f>VLOOKUP(B48,api!$A$2:$R$334,18,FALSE)</f>
        <v>38.126616673442498</v>
      </c>
    </row>
    <row r="49" spans="1:21" x14ac:dyDescent="0.3">
      <c r="A49">
        <v>17807543</v>
      </c>
      <c r="B49" t="s">
        <v>47</v>
      </c>
      <c r="C49" t="str">
        <f>VLOOKUP(A49,budget!$A$5:$I$337,3,FALSE)</f>
        <v>해신당공원 남근조각공원</v>
      </c>
      <c r="D49" t="str">
        <f>VLOOKUP(B49,api!$A$2:$R$334,2,FALSE)</f>
        <v>삼척시</v>
      </c>
      <c r="E49" t="str">
        <f>VLOOKUP(B49,api!$A$2:$R$334,12,FALSE)</f>
        <v>강원특별자치도 삼척시 원덕읍 갈남리 307</v>
      </c>
      <c r="F49" t="s">
        <v>226</v>
      </c>
      <c r="G49" t="str">
        <f>VLOOKUP(A49,budget!$A$5:$I$337,4,FALSE)</f>
        <v>자연경관/자유관광지</v>
      </c>
      <c r="J49" t="str">
        <f>VLOOKUP(A49,budget!$A$5:$I$337,5,FALSE)</f>
        <v>24시간 연중무휴 (자유 방문)</v>
      </c>
      <c r="K49">
        <f>VLOOKUP(B49,api!$A$2:$R$334,14,FALSE)</f>
        <v>0</v>
      </c>
      <c r="L49" t="str">
        <f>VLOOKUP(B49,api!$A$2:$R$334,4,FALSE)</f>
        <v>https://www.samcheok.go.kr/tour.web</v>
      </c>
      <c r="M49">
        <f>VLOOKUP(B49,api!$A$2:$R$334,5,FALSE)</f>
        <v>4</v>
      </c>
      <c r="N49">
        <f>VLOOKUP(B49,api!$A$2:$R$334,6,FALSE)</f>
        <v>7</v>
      </c>
      <c r="O49">
        <f>VLOOKUP(B49,api!$A$2:$R$334,7,FALSE)</f>
        <v>0</v>
      </c>
      <c r="P49">
        <f>VLOOKUP(A49,budget!$A$5:$I$337,6,FALSE)</f>
        <v>0</v>
      </c>
      <c r="Q49">
        <f>VLOOKUP(A49,budget!$A$5:$I$337,7,FALSE)</f>
        <v>0</v>
      </c>
      <c r="R49" t="str">
        <f>VLOOKUP(A49,budget!$A$5:$I$337,8,FALSE)</f>
        <v>상시 무료 관람 (식음료 및 개인소모품비 제외)</v>
      </c>
      <c r="S49" t="str">
        <f>VLOOKUP(A49,budget!$A$5:$I$337,9,FALSE)</f>
        <v>http://place.map.kakao.com/17807543</v>
      </c>
      <c r="T49">
        <f>VLOOKUP(B49,api!$A$2:$R$334,17,FALSE)</f>
        <v>129.32764548335899</v>
      </c>
      <c r="U49">
        <f>VLOOKUP(B49,api!$A$2:$R$334,18,FALSE)</f>
        <v>37.267368617963101</v>
      </c>
    </row>
    <row r="50" spans="1:21" x14ac:dyDescent="0.3">
      <c r="A50">
        <v>8226156</v>
      </c>
      <c r="B50" t="s">
        <v>48</v>
      </c>
      <c r="C50" t="str">
        <f>VLOOKUP(A50,budget!$A$5:$I$337,3,FALSE)</f>
        <v>남애항</v>
      </c>
      <c r="D50" t="str">
        <f>VLOOKUP(B50,api!$A$2:$R$334,2,FALSE)</f>
        <v>양양군</v>
      </c>
      <c r="E50" t="str">
        <f>VLOOKUP(B50,api!$A$2:$R$334,12,FALSE)</f>
        <v>강원특별자치도 양양군 현남면 남애리 2-8</v>
      </c>
      <c r="F50" t="s">
        <v>226</v>
      </c>
      <c r="G50" t="str">
        <f>VLOOKUP(A50,budget!$A$5:$I$337,4,FALSE)</f>
        <v>자연경관/자유관광지</v>
      </c>
      <c r="J50" t="str">
        <f>VLOOKUP(A50,budget!$A$5:$I$337,5,FALSE)</f>
        <v>24시간 연중무휴 (자유 방문)</v>
      </c>
      <c r="K50">
        <f>VLOOKUP(B50,api!$A$2:$R$334,14,FALSE)</f>
        <v>0</v>
      </c>
      <c r="L50" t="str">
        <f>VLOOKUP(B50,api!$A$2:$R$334,4,FALSE)</f>
        <v>https://tour.yangyang.go.kr/</v>
      </c>
      <c r="M50">
        <f>VLOOKUP(B50,api!$A$2:$R$334,5,FALSE)</f>
        <v>4.5</v>
      </c>
      <c r="N50">
        <f>VLOOKUP(B50,api!$A$2:$R$334,6,FALSE)</f>
        <v>17</v>
      </c>
      <c r="O50">
        <f>VLOOKUP(B50,api!$A$2:$R$334,7,FALSE)</f>
        <v>37</v>
      </c>
      <c r="P50">
        <f>VLOOKUP(A50,budget!$A$5:$I$337,6,FALSE)</f>
        <v>0</v>
      </c>
      <c r="Q50">
        <f>VLOOKUP(A50,budget!$A$5:$I$337,7,FALSE)</f>
        <v>0</v>
      </c>
      <c r="R50" t="str">
        <f>VLOOKUP(A50,budget!$A$5:$I$337,8,FALSE)</f>
        <v>상시 무료 관람 (식음료 및 개인소모품비 제외)</v>
      </c>
      <c r="S50" t="str">
        <f>VLOOKUP(A50,budget!$A$5:$I$337,9,FALSE)</f>
        <v>http://place.map.kakao.com/8226156</v>
      </c>
      <c r="T50">
        <f>VLOOKUP(B50,api!$A$2:$R$334,17,FALSE)</f>
        <v>128.78740585701499</v>
      </c>
      <c r="U50">
        <f>VLOOKUP(B50,api!$A$2:$R$334,18,FALSE)</f>
        <v>37.944487913925002</v>
      </c>
    </row>
    <row r="51" spans="1:21" x14ac:dyDescent="0.3">
      <c r="A51">
        <v>11276521</v>
      </c>
      <c r="B51" t="s">
        <v>49</v>
      </c>
      <c r="C51" t="str">
        <f>VLOOKUP(A51,budget!$A$5:$I$337,3,FALSE)</f>
        <v>남이섬</v>
      </c>
      <c r="D51" t="str">
        <f>VLOOKUP(B51,api!$A$2:$R$334,2,FALSE)</f>
        <v>춘천시</v>
      </c>
      <c r="E51" t="str">
        <f>VLOOKUP(B51,api!$A$2:$R$334,12,FALSE)</f>
        <v>강원특별자치도 춘천시 남산면 방하리 197</v>
      </c>
      <c r="F51" t="s">
        <v>226</v>
      </c>
      <c r="G51" t="str">
        <f>VLOOKUP(A51,budget!$A$5:$I$337,4,FALSE)</f>
        <v>자연경관/자유관광지</v>
      </c>
      <c r="H51" t="s">
        <v>799</v>
      </c>
      <c r="I51" t="s">
        <v>800</v>
      </c>
      <c r="J51" t="str">
        <f>VLOOKUP(A51,budget!$A$5:$I$337,5,FALSE)</f>
        <v>상시 개방</v>
      </c>
      <c r="K51" t="str">
        <f>VLOOKUP(B51,api!$A$2:$R$334,14,FALSE)</f>
        <v>031-580-8114</v>
      </c>
      <c r="L51" t="str">
        <f>VLOOKUP(B51,api!$A$2:$R$334,4,FALSE)</f>
        <v>https://www.namisum.com/</v>
      </c>
      <c r="M51">
        <f>VLOOKUP(B51,api!$A$2:$R$334,5,FALSE)</f>
        <v>3.5</v>
      </c>
      <c r="N51">
        <f>VLOOKUP(B51,api!$A$2:$R$334,6,FALSE)</f>
        <v>413</v>
      </c>
      <c r="O51">
        <f>VLOOKUP(B51,api!$A$2:$R$334,7,FALSE)</f>
        <v>1434</v>
      </c>
      <c r="P51">
        <f>VLOOKUP(A51,budget!$A$5:$I$337,6,FALSE)</f>
        <v>0</v>
      </c>
      <c r="Q51">
        <f>VLOOKUP(A51,budget!$A$5:$I$337,7,FALSE)</f>
        <v>0</v>
      </c>
      <c r="R51" t="str">
        <f>VLOOKUP(A51,budget!$A$5:$I$337,8,FALSE)</f>
        <v>상시 무료 관람 (식음료 및 개인소모품비 제외)</v>
      </c>
      <c r="S51" t="str">
        <f>VLOOKUP(A51,budget!$A$5:$I$337,9,FALSE)</f>
        <v>http://place.map.kakao.com/11276521</v>
      </c>
      <c r="T51">
        <f>VLOOKUP(B51,api!$A$2:$R$334,17,FALSE)</f>
        <v>127.52522723620299</v>
      </c>
      <c r="U51">
        <f>VLOOKUP(B51,api!$A$2:$R$334,18,FALSE)</f>
        <v>37.791449678411801</v>
      </c>
    </row>
    <row r="52" spans="1:21" x14ac:dyDescent="0.3">
      <c r="A52">
        <v>25042265</v>
      </c>
      <c r="B52" t="s">
        <v>50</v>
      </c>
      <c r="C52" t="str">
        <f>VLOOKUP(A52,budget!$A$5:$I$337,3,FALSE)</f>
        <v>논골담길</v>
      </c>
      <c r="D52" t="str">
        <f>VLOOKUP(B52,api!$A$2:$R$334,2,FALSE)</f>
        <v>동해시</v>
      </c>
      <c r="E52" t="str">
        <f>VLOOKUP(B52,api!$A$2:$R$334,12,FALSE)</f>
        <v>강원특별자치도 동해시 묵호진동 18</v>
      </c>
      <c r="F52" t="s">
        <v>226</v>
      </c>
      <c r="G52" t="str">
        <f>VLOOKUP(A52,budget!$A$5:$I$337,4,FALSE)</f>
        <v>자연경관/자유관광지</v>
      </c>
      <c r="J52" t="str">
        <f>VLOOKUP(A52,budget!$A$5:$I$337,5,FALSE)</f>
        <v>상시 개방</v>
      </c>
      <c r="K52">
        <f>VLOOKUP(B52,api!$A$2:$R$334,14,FALSE)</f>
        <v>0</v>
      </c>
      <c r="L52" t="str">
        <f>VLOOKUP(B52,api!$A$2:$R$334,4,FALSE)</f>
        <v>https://www.dh.go.kr/tour/index.htm</v>
      </c>
      <c r="M52">
        <f>VLOOKUP(B52,api!$A$2:$R$334,5,FALSE)</f>
        <v>4.4000000000000004</v>
      </c>
      <c r="N52">
        <f>VLOOKUP(B52,api!$A$2:$R$334,6,FALSE)</f>
        <v>91</v>
      </c>
      <c r="O52">
        <f>VLOOKUP(B52,api!$A$2:$R$334,7,FALSE)</f>
        <v>186</v>
      </c>
      <c r="P52">
        <f>VLOOKUP(A52,budget!$A$5:$I$337,6,FALSE)</f>
        <v>0</v>
      </c>
      <c r="Q52">
        <f>VLOOKUP(A52,budget!$A$5:$I$337,7,FALSE)</f>
        <v>0</v>
      </c>
      <c r="R52" t="str">
        <f>VLOOKUP(A52,budget!$A$5:$I$337,8,FALSE)</f>
        <v>상시 무료 관람 (식음료 및 개인소모품비 제외)</v>
      </c>
      <c r="S52" t="str">
        <f>VLOOKUP(A52,budget!$A$5:$I$337,9,FALSE)</f>
        <v>http://place.map.kakao.com/25042265</v>
      </c>
      <c r="T52">
        <f>VLOOKUP(B52,api!$A$2:$R$334,17,FALSE)</f>
        <v>129.11647504471</v>
      </c>
      <c r="U52">
        <f>VLOOKUP(B52,api!$A$2:$R$334,18,FALSE)</f>
        <v>37.552770903695702</v>
      </c>
    </row>
    <row r="53" spans="1:21" x14ac:dyDescent="0.3">
      <c r="A53">
        <v>24876688</v>
      </c>
      <c r="B53" t="s">
        <v>51</v>
      </c>
      <c r="C53" t="str">
        <f>VLOOKUP(A53,budget!$A$5:$I$337,3,FALSE)</f>
        <v>능파대</v>
      </c>
      <c r="D53" t="str">
        <f>VLOOKUP(B53,api!$A$2:$R$334,2,FALSE)</f>
        <v>고성군</v>
      </c>
      <c r="E53" t="str">
        <f>VLOOKUP(B53,api!$A$2:$R$334,12,FALSE)</f>
        <v>강원특별자치도 고성군 죽왕면 문암진리</v>
      </c>
      <c r="F53" t="s">
        <v>226</v>
      </c>
      <c r="G53" t="str">
        <f>VLOOKUP(A53,budget!$A$5:$I$337,4,FALSE)</f>
        <v>자연경관/자유관광지</v>
      </c>
      <c r="J53" t="str">
        <f>VLOOKUP(A53,budget!$A$5:$I$337,5,FALSE)</f>
        <v>상시 개방</v>
      </c>
      <c r="K53">
        <f>VLOOKUP(B53,api!$A$2:$R$334,14,FALSE)</f>
        <v>0</v>
      </c>
      <c r="L53" t="str">
        <f>VLOOKUP(B53,api!$A$2:$R$334,4,FALSE)</f>
        <v>https://koreadmz.kr/</v>
      </c>
      <c r="M53">
        <f>VLOOKUP(B53,api!$A$2:$R$334,5,FALSE)</f>
        <v>4.3</v>
      </c>
      <c r="N53">
        <f>VLOOKUP(B53,api!$A$2:$R$334,6,FALSE)</f>
        <v>10</v>
      </c>
      <c r="O53">
        <f>VLOOKUP(B53,api!$A$2:$R$334,7,FALSE)</f>
        <v>0</v>
      </c>
      <c r="P53">
        <f>VLOOKUP(A53,budget!$A$5:$I$337,6,FALSE)</f>
        <v>0</v>
      </c>
      <c r="Q53">
        <f>VLOOKUP(A53,budget!$A$5:$I$337,7,FALSE)</f>
        <v>0</v>
      </c>
      <c r="R53" t="str">
        <f>VLOOKUP(A53,budget!$A$5:$I$337,8,FALSE)</f>
        <v>상시 무료 관람 (식음료 및 개인소모품비 제외)</v>
      </c>
      <c r="S53" t="str">
        <f>VLOOKUP(A53,budget!$A$5:$I$337,9,FALSE)</f>
        <v>http://place.map.kakao.com/24876688</v>
      </c>
      <c r="T53">
        <f>VLOOKUP(B53,api!$A$2:$R$334,17,FALSE)</f>
        <v>128.54986250699599</v>
      </c>
      <c r="U53">
        <f>VLOOKUP(B53,api!$A$2:$R$334,18,FALSE)</f>
        <v>38.296609143684599</v>
      </c>
    </row>
    <row r="54" spans="1:21" x14ac:dyDescent="0.3">
      <c r="A54">
        <v>10260730</v>
      </c>
      <c r="B54" t="s">
        <v>52</v>
      </c>
      <c r="C54" t="str">
        <f>VLOOKUP(A54,budget!$A$5:$I$337,3,FALSE)</f>
        <v>대관령양떼목장</v>
      </c>
      <c r="D54" t="str">
        <f>VLOOKUP(B54,api!$A$2:$R$334,2,FALSE)</f>
        <v>평창군</v>
      </c>
      <c r="E54" t="str">
        <f>VLOOKUP(B54,api!$A$2:$R$334,12,FALSE)</f>
        <v>강원특별자치도 평창군 대관령면 횡계리 14-104</v>
      </c>
      <c r="F54" t="s">
        <v>226</v>
      </c>
      <c r="G54" t="str">
        <f>VLOOKUP(A54,budget!$A$5:$I$337,4,FALSE)</f>
        <v>테마파크/민간관광지</v>
      </c>
      <c r="J54" t="str">
        <f>VLOOKUP(A54,budget!$A$5:$I$337,5,FALSE)</f>
        <v>10:00 - 18:00 (연중무휴/입장마감 17:00)</v>
      </c>
      <c r="K54" t="str">
        <f>VLOOKUP(B54,api!$A$2:$R$334,14,FALSE)</f>
        <v>033-335-1966</v>
      </c>
      <c r="L54">
        <f>VLOOKUP(B54,api!$A$2:$R$334,4,FALSE)</f>
        <v>0</v>
      </c>
      <c r="M54">
        <f>VLOOKUP(B54,api!$A$2:$R$334,5,FALSE)</f>
        <v>3.9</v>
      </c>
      <c r="N54">
        <f>VLOOKUP(B54,api!$A$2:$R$334,6,FALSE)</f>
        <v>181</v>
      </c>
      <c r="O54">
        <f>VLOOKUP(B54,api!$A$2:$R$334,7,FALSE)</f>
        <v>1265</v>
      </c>
      <c r="P54">
        <f>VLOOKUP(A54,budget!$A$5:$I$337,6,FALSE)</f>
        <v>8000</v>
      </c>
      <c r="Q54">
        <f>VLOOKUP(A54,budget!$A$5:$I$337,7,FALSE)</f>
        <v>20000</v>
      </c>
      <c r="R54" t="str">
        <f>VLOOKUP(A54,budget!$A$5:$I$337,8,FALSE)</f>
        <v>대인 정상 입장료 기준 (할인혜택/통합권 따라 변동)</v>
      </c>
      <c r="S54" t="str">
        <f>VLOOKUP(A54,budget!$A$5:$I$337,9,FALSE)</f>
        <v>http://place.map.kakao.com/10260730</v>
      </c>
      <c r="T54">
        <f>VLOOKUP(B54,api!$A$2:$R$334,17,FALSE)</f>
        <v>128.75297306500099</v>
      </c>
      <c r="U54">
        <f>VLOOKUP(B54,api!$A$2:$R$334,18,FALSE)</f>
        <v>37.689787560758901</v>
      </c>
    </row>
    <row r="55" spans="1:21" x14ac:dyDescent="0.3">
      <c r="A55">
        <v>1926175775</v>
      </c>
      <c r="B55" t="s">
        <v>53</v>
      </c>
      <c r="C55" t="str">
        <f>VLOOKUP(A55,budget!$A$5:$I$337,3,FALSE)</f>
        <v>대관령 하늘목장</v>
      </c>
      <c r="D55" t="str">
        <f>VLOOKUP(B55,api!$A$2:$R$334,2,FALSE)</f>
        <v>평창군</v>
      </c>
      <c r="E55" t="str">
        <f>VLOOKUP(B55,api!$A$2:$R$334,12,FALSE)</f>
        <v>강원특별자치도 평창군 대관령면 횡계리 산 1-134</v>
      </c>
      <c r="F55" t="s">
        <v>226</v>
      </c>
      <c r="G55" t="str">
        <f>VLOOKUP(A55,budget!$A$5:$I$337,4,FALSE)</f>
        <v>테마파크/민간관광지</v>
      </c>
      <c r="J55" t="str">
        <f>VLOOKUP(A55,budget!$A$5:$I$337,5,FALSE)</f>
        <v>10:00 - 18:00 (연중무휴/입장마감 17:00)</v>
      </c>
      <c r="K55" t="str">
        <f>VLOOKUP(B55,api!$A$2:$R$334,14,FALSE)</f>
        <v>033-332-8061</v>
      </c>
      <c r="L55" t="str">
        <f>VLOOKUP(B55,api!$A$2:$R$334,4,FALSE)</f>
        <v>http://www.yangtte.co.kr/</v>
      </c>
      <c r="M55">
        <f>VLOOKUP(B55,api!$A$2:$R$334,5,FALSE)</f>
        <v>3.8</v>
      </c>
      <c r="N55">
        <f>VLOOKUP(B55,api!$A$2:$R$334,6,FALSE)</f>
        <v>81</v>
      </c>
      <c r="O55">
        <f>VLOOKUP(B55,api!$A$2:$R$334,7,FALSE)</f>
        <v>30</v>
      </c>
      <c r="P55">
        <f>VLOOKUP(A55,budget!$A$5:$I$337,6,FALSE)</f>
        <v>8000</v>
      </c>
      <c r="Q55">
        <f>VLOOKUP(A55,budget!$A$5:$I$337,7,FALSE)</f>
        <v>20000</v>
      </c>
      <c r="R55" t="str">
        <f>VLOOKUP(A55,budget!$A$5:$I$337,8,FALSE)</f>
        <v>대인 정상 입장료 기준 (할인혜택/통합권 따라 변동)</v>
      </c>
      <c r="S55" t="str">
        <f>VLOOKUP(A55,budget!$A$5:$I$337,9,FALSE)</f>
        <v>http://place.map.kakao.com/1926175775</v>
      </c>
      <c r="T55">
        <f>VLOOKUP(B55,api!$A$2:$R$334,17,FALSE)</f>
        <v>128.73216386847901</v>
      </c>
      <c r="U55">
        <f>VLOOKUP(B55,api!$A$2:$R$334,18,FALSE)</f>
        <v>37.711702524562902</v>
      </c>
    </row>
    <row r="56" spans="1:21" x14ac:dyDescent="0.3">
      <c r="A56">
        <v>8302996</v>
      </c>
      <c r="B56" t="s">
        <v>54</v>
      </c>
      <c r="C56" t="str">
        <f>VLOOKUP(A56,budget!$A$5:$I$337,3,FALSE)</f>
        <v>국립대관령자연휴양림</v>
      </c>
      <c r="D56" t="str">
        <f>VLOOKUP(B56,api!$A$2:$R$334,2,FALSE)</f>
        <v>강릉시</v>
      </c>
      <c r="E56" t="str">
        <f>VLOOKUP(B56,api!$A$2:$R$334,12,FALSE)</f>
        <v>강원특별자치도 강릉시 성산면 어흘리 산 2-1</v>
      </c>
      <c r="F56" t="s">
        <v>226</v>
      </c>
      <c r="G56" t="str">
        <f>VLOOKUP(A56,budget!$A$5:$I$337,4,FALSE)</f>
        <v>휴양림/수목원</v>
      </c>
      <c r="H56" t="s">
        <v>799</v>
      </c>
      <c r="I56" t="s">
        <v>800</v>
      </c>
      <c r="J56" t="str">
        <f>VLOOKUP(A56,budget!$A$5:$I$337,5,FALSE)</f>
        <v>09:00 - 18:00 (화요일/월요일 휴무)</v>
      </c>
      <c r="K56" t="str">
        <f>VLOOKUP(B56,api!$A$2:$R$334,14,FALSE)</f>
        <v>033-641-9990</v>
      </c>
      <c r="L56" t="str">
        <f>VLOOKUP(B56,api!$A$2:$R$334,4,FALSE)</f>
        <v>https://www.foresttrip.go.kr/</v>
      </c>
      <c r="M56">
        <f>VLOOKUP(B56,api!$A$2:$R$334,5,FALSE)</f>
        <v>4.3</v>
      </c>
      <c r="N56">
        <f>VLOOKUP(B56,api!$A$2:$R$334,6,FALSE)</f>
        <v>42</v>
      </c>
      <c r="O56">
        <f>VLOOKUP(B56,api!$A$2:$R$334,7,FALSE)</f>
        <v>5</v>
      </c>
      <c r="P56">
        <f>VLOOKUP(A56,budget!$A$5:$I$337,6,FALSE)</f>
        <v>1000</v>
      </c>
      <c r="Q56">
        <f>VLOOKUP(A56,budget!$A$5:$I$337,7,FALSE)</f>
        <v>5000</v>
      </c>
      <c r="R56" t="str">
        <f>VLOOKUP(A56,budget!$A$5:$I$337,8,FALSE)</f>
        <v>국공립/민간 휴양림 입장료 기준 (숙박/체험비 제외)</v>
      </c>
      <c r="S56" t="str">
        <f>VLOOKUP(A56,budget!$A$5:$I$337,9,FALSE)</f>
        <v>http://place.map.kakao.com/8302996</v>
      </c>
      <c r="T56">
        <f>VLOOKUP(B56,api!$A$2:$R$334,17,FALSE)</f>
        <v>128.785962043691</v>
      </c>
      <c r="U56">
        <f>VLOOKUP(B56,api!$A$2:$R$334,18,FALSE)</f>
        <v>37.712662631247902</v>
      </c>
    </row>
    <row r="57" spans="1:21" x14ac:dyDescent="0.3">
      <c r="A57">
        <v>7828533</v>
      </c>
      <c r="B57" t="s">
        <v>55</v>
      </c>
      <c r="C57" t="str">
        <f>VLOOKUP(A57,budget!$A$5:$I$337,3,FALSE)</f>
        <v>대진해변</v>
      </c>
      <c r="D57" t="str">
        <f>VLOOKUP(B57,api!$A$2:$R$334,2,FALSE)</f>
        <v>동해시</v>
      </c>
      <c r="E57" t="str">
        <f>VLOOKUP(B57,api!$A$2:$R$334,12,FALSE)</f>
        <v>강원특별자치도 동해시 망상동</v>
      </c>
      <c r="F57" t="s">
        <v>226</v>
      </c>
      <c r="G57" t="str">
        <f>VLOOKUP(A57,budget!$A$5:$I$337,4,FALSE)</f>
        <v>자연경관/자유관광지</v>
      </c>
      <c r="H57" t="s">
        <v>799</v>
      </c>
      <c r="I57" t="s">
        <v>800</v>
      </c>
      <c r="J57" t="str">
        <f>VLOOKUP(A57,budget!$A$5:$I$337,5,FALSE)</f>
        <v>24시간 연중무휴 (자유 방문)</v>
      </c>
      <c r="K57">
        <f>VLOOKUP(B57,api!$A$2:$R$334,14,FALSE)</f>
        <v>0</v>
      </c>
      <c r="L57" t="str">
        <f>VLOOKUP(B57,api!$A$2:$R$334,4,FALSE)</f>
        <v>https://www.dh.go.kr/tour/index.htm</v>
      </c>
      <c r="M57">
        <f>VLOOKUP(B57,api!$A$2:$R$334,5,FALSE)</f>
        <v>3</v>
      </c>
      <c r="N57">
        <f>VLOOKUP(B57,api!$A$2:$R$334,6,FALSE)</f>
        <v>6</v>
      </c>
      <c r="O57">
        <f>VLOOKUP(B57,api!$A$2:$R$334,7,FALSE)</f>
        <v>0</v>
      </c>
      <c r="P57">
        <f>VLOOKUP(A57,budget!$A$5:$I$337,6,FALSE)</f>
        <v>0</v>
      </c>
      <c r="Q57">
        <f>VLOOKUP(A57,budget!$A$5:$I$337,7,FALSE)</f>
        <v>0</v>
      </c>
      <c r="R57" t="str">
        <f>VLOOKUP(A57,budget!$A$5:$I$337,8,FALSE)</f>
        <v>상시 무료 관람 (식음료 및 개인소모품비 제외)</v>
      </c>
      <c r="S57" t="str">
        <f>VLOOKUP(A57,budget!$A$5:$I$337,9,FALSE)</f>
        <v>http://place.map.kakao.com/7828533</v>
      </c>
      <c r="T57">
        <f>VLOOKUP(B57,api!$A$2:$R$334,17,FALSE)</f>
        <v>129.109715881418</v>
      </c>
      <c r="U57">
        <f>VLOOKUP(B57,api!$A$2:$R$334,18,FALSE)</f>
        <v>37.581381815303203</v>
      </c>
    </row>
    <row r="58" spans="1:21" x14ac:dyDescent="0.3">
      <c r="A58">
        <v>405308632</v>
      </c>
      <c r="B58" t="s">
        <v>56</v>
      </c>
      <c r="C58" t="str">
        <f>VLOOKUP(A58,budget!$A$5:$I$337,3,FALSE)</f>
        <v>덕봉산 해안생태탐방로</v>
      </c>
      <c r="D58" t="str">
        <f>VLOOKUP(B58,api!$A$2:$R$334,2,FALSE)</f>
        <v>삼척시</v>
      </c>
      <c r="E58" t="str">
        <f>VLOOKUP(B58,api!$A$2:$R$334,12,FALSE)</f>
        <v>강원특별자치도 삼척시 근덕면 덕산리 119-5</v>
      </c>
      <c r="F58" t="s">
        <v>226</v>
      </c>
      <c r="G58" t="str">
        <f>VLOOKUP(A58,budget!$A$5:$I$337,4,FALSE)</f>
        <v>자연경관/자유관광지</v>
      </c>
      <c r="H58" t="s">
        <v>799</v>
      </c>
      <c r="I58" t="s">
        <v>800</v>
      </c>
      <c r="J58" t="str">
        <f>VLOOKUP(A58,budget!$A$5:$I$337,5,FALSE)</f>
        <v>24시간 연중무휴 (자유 방문)</v>
      </c>
      <c r="K58">
        <f>VLOOKUP(B58,api!$A$2:$R$334,14,FALSE)</f>
        <v>0</v>
      </c>
      <c r="L58" t="str">
        <f>VLOOKUP(B58,api!$A$2:$R$334,4,FALSE)</f>
        <v>https://www.samcheok.go.kr/</v>
      </c>
      <c r="M58">
        <f>VLOOKUP(B58,api!$A$2:$R$334,5,FALSE)</f>
        <v>4.5999999999999996</v>
      </c>
      <c r="N58">
        <f>VLOOKUP(B58,api!$A$2:$R$334,6,FALSE)</f>
        <v>12</v>
      </c>
      <c r="O58">
        <f>VLOOKUP(B58,api!$A$2:$R$334,7,FALSE)</f>
        <v>103</v>
      </c>
      <c r="P58">
        <f>VLOOKUP(A58,budget!$A$5:$I$337,6,FALSE)</f>
        <v>0</v>
      </c>
      <c r="Q58">
        <f>VLOOKUP(A58,budget!$A$5:$I$337,7,FALSE)</f>
        <v>0</v>
      </c>
      <c r="R58" t="str">
        <f>VLOOKUP(A58,budget!$A$5:$I$337,8,FALSE)</f>
        <v>상시 무료 관람 (식음료 및 개인소모품비 제외)</v>
      </c>
      <c r="S58" t="str">
        <f>VLOOKUP(A58,budget!$A$5:$I$337,9,FALSE)</f>
        <v>http://place.map.kakao.com/405308632</v>
      </c>
      <c r="T58">
        <f>VLOOKUP(B58,api!$A$2:$R$334,17,FALSE)</f>
        <v>129.239816338682</v>
      </c>
      <c r="U58">
        <f>VLOOKUP(B58,api!$A$2:$R$334,18,FALSE)</f>
        <v>37.386212794180999</v>
      </c>
    </row>
    <row r="59" spans="1:21" x14ac:dyDescent="0.3">
      <c r="A59">
        <v>1437031172</v>
      </c>
      <c r="B59" t="s">
        <v>57</v>
      </c>
      <c r="C59" t="str">
        <f>VLOOKUP(A59,budget!$A$5:$I$337,3,FALSE)</f>
        <v>도째비골스카이밸리</v>
      </c>
      <c r="D59" t="str">
        <f>VLOOKUP(B59,api!$A$2:$R$334,2,FALSE)</f>
        <v>동해시</v>
      </c>
      <c r="E59" t="str">
        <f>VLOOKUP(B59,api!$A$2:$R$334,12,FALSE)</f>
        <v>강원특별자치도 동해시 묵호진동 2-109</v>
      </c>
      <c r="F59" t="s">
        <v>226</v>
      </c>
      <c r="G59" t="str">
        <f>VLOOKUP(A59,budget!$A$5:$I$337,4,FALSE)</f>
        <v>문화/전람/동굴/전망시설</v>
      </c>
      <c r="J59" t="str">
        <f>VLOOKUP(A59,budget!$A$5:$I$337,5,FALSE)</f>
        <v>10:00 - 18:00 (하절기/주말 연장운영)</v>
      </c>
      <c r="K59" t="str">
        <f>VLOOKUP(B59,api!$A$2:$R$334,14,FALSE)</f>
        <v>033-534-6955</v>
      </c>
      <c r="L59" t="str">
        <f>VLOOKUP(B59,api!$A$2:$R$334,4,FALSE)</f>
        <v>https://www.dh.go.kr/tour/</v>
      </c>
      <c r="M59">
        <f>VLOOKUP(B59,api!$A$2:$R$334,5,FALSE)</f>
        <v>4.3</v>
      </c>
      <c r="N59">
        <f>VLOOKUP(B59,api!$A$2:$R$334,6,FALSE)</f>
        <v>144</v>
      </c>
      <c r="O59">
        <f>VLOOKUP(B59,api!$A$2:$R$334,7,FALSE)</f>
        <v>472</v>
      </c>
      <c r="P59">
        <f>VLOOKUP(A59,budget!$A$5:$I$337,6,FALSE)</f>
        <v>2000</v>
      </c>
      <c r="Q59">
        <f>VLOOKUP(A59,budget!$A$5:$I$337,7,FALSE)</f>
        <v>10000</v>
      </c>
      <c r="R59" t="str">
        <f>VLOOKUP(A59,budget!$A$5:$I$337,8,FALSE)</f>
        <v>대인 관람료 및 전망대/스카이워크 이용료 기준</v>
      </c>
      <c r="S59" t="str">
        <f>VLOOKUP(A59,budget!$A$5:$I$337,9,FALSE)</f>
        <v>http://place.map.kakao.com/1437031172</v>
      </c>
      <c r="T59">
        <f>VLOOKUP(B59,api!$A$2:$R$334,17,FALSE)</f>
        <v>129.11913086409101</v>
      </c>
      <c r="U59">
        <f>VLOOKUP(B59,api!$A$2:$R$334,18,FALSE)</f>
        <v>37.555254601862799</v>
      </c>
    </row>
    <row r="60" spans="1:21" x14ac:dyDescent="0.3">
      <c r="A60">
        <v>10304718</v>
      </c>
      <c r="B60" t="s">
        <v>58</v>
      </c>
      <c r="C60" t="str">
        <f>VLOOKUP(A60,budget!$A$5:$I$337,3,FALSE)</f>
        <v>동강래프팅</v>
      </c>
      <c r="D60" t="str">
        <f>VLOOKUP(B60,api!$A$2:$R$334,2,FALSE)</f>
        <v>영월군</v>
      </c>
      <c r="E60" t="str">
        <f>VLOOKUP(B60,api!$A$2:$R$334,12,FALSE)</f>
        <v>강원특별자치도 영월군 영월읍 삼옥리 234-6</v>
      </c>
      <c r="F60" t="s">
        <v>226</v>
      </c>
      <c r="G60" t="str">
        <f>VLOOKUP(A60,budget!$A$5:$I$337,4,FALSE)</f>
        <v>체험/액티비티</v>
      </c>
      <c r="J60" t="str">
        <f>VLOOKUP(A60,budget!$A$5:$I$337,5,FALSE)</f>
        <v>09:00 - 18:00 (사전예약/상황별 변동)</v>
      </c>
      <c r="K60" t="str">
        <f>VLOOKUP(B60,api!$A$2:$R$334,14,FALSE)</f>
        <v>1544-7569</v>
      </c>
      <c r="L60" t="str">
        <f>VLOOKUP(B60,api!$A$2:$R$334,4,FALSE)</f>
        <v>http://rafting24.co.kr/html/index.html</v>
      </c>
      <c r="M60">
        <f>VLOOKUP(B60,api!$A$2:$R$334,5,FALSE)</f>
        <v>4.5999999999999996</v>
      </c>
      <c r="N60">
        <f>VLOOKUP(B60,api!$A$2:$R$334,6,FALSE)</f>
        <v>31</v>
      </c>
      <c r="O60">
        <f>VLOOKUP(B60,api!$A$2:$R$334,7,FALSE)</f>
        <v>395</v>
      </c>
      <c r="P60">
        <f>VLOOKUP(A60,budget!$A$5:$I$337,6,FALSE)</f>
        <v>10000</v>
      </c>
      <c r="Q60">
        <f>VLOOKUP(A60,budget!$A$5:$I$337,7,FALSE)</f>
        <v>35000</v>
      </c>
      <c r="R60" t="str">
        <f>VLOOKUP(A60,budget!$A$5:$I$337,8,FALSE)</f>
        <v>1인 승선/체험권 기준 (코스 및 이용 상품에 따라 변동)</v>
      </c>
      <c r="S60" t="str">
        <f>VLOOKUP(A60,budget!$A$5:$I$337,9,FALSE)</f>
        <v>http://place.map.kakao.com/10304718</v>
      </c>
      <c r="T60">
        <f>VLOOKUP(B60,api!$A$2:$R$334,17,FALSE)</f>
        <v>128.51028911205199</v>
      </c>
      <c r="U60">
        <f>VLOOKUP(B60,api!$A$2:$R$334,18,FALSE)</f>
        <v>37.233138825618099</v>
      </c>
    </row>
    <row r="61" spans="1:21" x14ac:dyDescent="0.3">
      <c r="A61">
        <v>21426512</v>
      </c>
      <c r="B61" t="s">
        <v>59</v>
      </c>
      <c r="C61" t="str">
        <f>VLOOKUP(A61,budget!$A$5:$I$337,3,FALSE)</f>
        <v>동강전망자연휴양림</v>
      </c>
      <c r="D61" t="str">
        <f>VLOOKUP(B61,api!$A$2:$R$334,2,FALSE)</f>
        <v>정선군</v>
      </c>
      <c r="E61" t="str">
        <f>VLOOKUP(B61,api!$A$2:$R$334,12,FALSE)</f>
        <v>강원특별자치도 정선군 신동읍 운치리 산 239</v>
      </c>
      <c r="F61" t="s">
        <v>226</v>
      </c>
      <c r="G61" t="str">
        <f>VLOOKUP(A61,budget!$A$5:$I$337,4,FALSE)</f>
        <v>휴양림/수목원</v>
      </c>
      <c r="H61" t="s">
        <v>908</v>
      </c>
      <c r="I61" t="s">
        <v>909</v>
      </c>
      <c r="J61" t="str">
        <f>VLOOKUP(A61,budget!$A$5:$I$337,5,FALSE)</f>
        <v>09:00 - 18:00 (화요일/월요일 휴무)</v>
      </c>
      <c r="K61" t="str">
        <f>VLOOKUP(B61,api!$A$2:$R$334,14,FALSE)</f>
        <v>033-560-3464</v>
      </c>
      <c r="L61" t="str">
        <f>VLOOKUP(B61,api!$A$2:$R$334,4,FALSE)</f>
        <v>https://jsimc.or.kr/</v>
      </c>
      <c r="M61">
        <f>VLOOKUP(B61,api!$A$2:$R$334,5,FALSE)</f>
        <v>4.4000000000000004</v>
      </c>
      <c r="N61">
        <f>VLOOKUP(B61,api!$A$2:$R$334,6,FALSE)</f>
        <v>40</v>
      </c>
      <c r="O61">
        <f>VLOOKUP(B61,api!$A$2:$R$334,7,FALSE)</f>
        <v>58</v>
      </c>
      <c r="P61">
        <f>VLOOKUP(A61,budget!$A$5:$I$337,6,FALSE)</f>
        <v>1000</v>
      </c>
      <c r="Q61">
        <f>VLOOKUP(A61,budget!$A$5:$I$337,7,FALSE)</f>
        <v>5000</v>
      </c>
      <c r="R61" t="str">
        <f>VLOOKUP(A61,budget!$A$5:$I$337,8,FALSE)</f>
        <v>국공립/민간 휴양림 입장료 기준 (숙박/체험비 제외)</v>
      </c>
      <c r="S61" t="str">
        <f>VLOOKUP(A61,budget!$A$5:$I$337,9,FALSE)</f>
        <v>http://place.map.kakao.com/21426512</v>
      </c>
      <c r="T61">
        <f>VLOOKUP(B61,api!$A$2:$R$334,17,FALSE)</f>
        <v>128.60835595794001</v>
      </c>
      <c r="U61">
        <f>VLOOKUP(B61,api!$A$2:$R$334,18,FALSE)</f>
        <v>37.260834437584201</v>
      </c>
    </row>
    <row r="62" spans="1:21" x14ac:dyDescent="0.3">
      <c r="A62">
        <v>1960058011</v>
      </c>
      <c r="B62" t="s">
        <v>60</v>
      </c>
      <c r="C62" t="str">
        <f>VLOOKUP(A62,budget!$A$5:$I$337,3,FALSE)</f>
        <v>동서강정원 연당원</v>
      </c>
      <c r="D62" t="str">
        <f>VLOOKUP(B62,api!$A$2:$R$334,2,FALSE)</f>
        <v>영월군</v>
      </c>
      <c r="E62" t="str">
        <f>VLOOKUP(B62,api!$A$2:$R$334,12,FALSE)</f>
        <v>강원특별자치도 영월군 남면 연당리 865-8</v>
      </c>
      <c r="F62" t="s">
        <v>226</v>
      </c>
      <c r="G62" t="str">
        <f>VLOOKUP(A62,budget!$A$5:$I$337,4,FALSE)</f>
        <v>자연경관/자유관광지</v>
      </c>
      <c r="J62" t="str">
        <f>VLOOKUP(A62,budget!$A$5:$I$337,5,FALSE)</f>
        <v>상시 개방</v>
      </c>
      <c r="K62" t="str">
        <f>VLOOKUP(B62,api!$A$2:$R$334,14,FALSE)</f>
        <v>033-372-0545</v>
      </c>
      <c r="L62" t="str">
        <f>VLOOKUP(B62,api!$A$2:$R$334,4,FALSE)</f>
        <v>https://www.yw.go.kr/tour/index.do#secondPage</v>
      </c>
      <c r="M62">
        <f>VLOOKUP(B62,api!$A$2:$R$334,5,FALSE)</f>
        <v>4.5</v>
      </c>
      <c r="N62">
        <f>VLOOKUP(B62,api!$A$2:$R$334,6,FALSE)</f>
        <v>17</v>
      </c>
      <c r="O62">
        <f>VLOOKUP(B62,api!$A$2:$R$334,7,FALSE)</f>
        <v>123</v>
      </c>
      <c r="P62">
        <f>VLOOKUP(A62,budget!$A$5:$I$337,6,FALSE)</f>
        <v>0</v>
      </c>
      <c r="Q62">
        <f>VLOOKUP(A62,budget!$A$5:$I$337,7,FALSE)</f>
        <v>0</v>
      </c>
      <c r="R62" t="str">
        <f>VLOOKUP(A62,budget!$A$5:$I$337,8,FALSE)</f>
        <v>상시 무료 관람 (식음료 및 개인소모품비 제외)</v>
      </c>
      <c r="S62" t="str">
        <f>VLOOKUP(A62,budget!$A$5:$I$337,9,FALSE)</f>
        <v>http://place.map.kakao.com/1960058011</v>
      </c>
      <c r="T62">
        <f>VLOOKUP(B62,api!$A$2:$R$334,17,FALSE)</f>
        <v>128.40950169928399</v>
      </c>
      <c r="U62">
        <f>VLOOKUP(B62,api!$A$2:$R$334,18,FALSE)</f>
        <v>37.188467767908797</v>
      </c>
    </row>
    <row r="63" spans="1:21" x14ac:dyDescent="0.3">
      <c r="A63">
        <v>27299636</v>
      </c>
      <c r="B63" t="s">
        <v>61</v>
      </c>
      <c r="C63" t="str">
        <f>VLOOKUP(A63,budget!$A$5:$I$337,3,FALSE)</f>
        <v>동해무릉건강숲</v>
      </c>
      <c r="D63" t="str">
        <f>VLOOKUP(B63,api!$A$2:$R$334,2,FALSE)</f>
        <v>동해시</v>
      </c>
      <c r="E63" t="str">
        <f>VLOOKUP(B63,api!$A$2:$R$334,12,FALSE)</f>
        <v>강원특별자치도 동해시 삼화동 861</v>
      </c>
      <c r="F63" t="s">
        <v>226</v>
      </c>
      <c r="G63" t="str">
        <f>VLOOKUP(A63,budget!$A$5:$I$337,4,FALSE)</f>
        <v>자연경관/자유관광지</v>
      </c>
      <c r="H63" t="s">
        <v>908</v>
      </c>
      <c r="I63" t="s">
        <v>909</v>
      </c>
      <c r="J63" t="str">
        <f>VLOOKUP(A63,budget!$A$5:$I$337,5,FALSE)</f>
        <v>상시 개방</v>
      </c>
      <c r="K63" t="str">
        <f>VLOOKUP(B63,api!$A$2:$R$334,14,FALSE)</f>
        <v>033-530-2391</v>
      </c>
      <c r="L63" t="str">
        <f>VLOOKUP(B63,api!$A$2:$R$334,4,FALSE)</f>
        <v>https://www.dh.go.kr/forest/</v>
      </c>
      <c r="M63">
        <f>VLOOKUP(B63,api!$A$2:$R$334,5,FALSE)</f>
        <v>4.4000000000000004</v>
      </c>
      <c r="N63">
        <f>VLOOKUP(B63,api!$A$2:$R$334,6,FALSE)</f>
        <v>19</v>
      </c>
      <c r="O63">
        <f>VLOOKUP(B63,api!$A$2:$R$334,7,FALSE)</f>
        <v>24</v>
      </c>
      <c r="P63">
        <f>VLOOKUP(A63,budget!$A$5:$I$337,6,FALSE)</f>
        <v>0</v>
      </c>
      <c r="Q63">
        <f>VLOOKUP(A63,budget!$A$5:$I$337,7,FALSE)</f>
        <v>0</v>
      </c>
      <c r="R63" t="str">
        <f>VLOOKUP(A63,budget!$A$5:$I$337,8,FALSE)</f>
        <v>상시 무료 관람 (식음료 및 개인소모품비 제외)</v>
      </c>
      <c r="S63" t="str">
        <f>VLOOKUP(A63,budget!$A$5:$I$337,9,FALSE)</f>
        <v>http://place.map.kakao.com/27299636</v>
      </c>
      <c r="T63">
        <f>VLOOKUP(B63,api!$A$2:$R$334,17,FALSE)</f>
        <v>129.03124100245799</v>
      </c>
      <c r="U63">
        <f>VLOOKUP(B63,api!$A$2:$R$334,18,FALSE)</f>
        <v>37.465113503690397</v>
      </c>
    </row>
    <row r="64" spans="1:21" x14ac:dyDescent="0.3">
      <c r="A64">
        <v>1099711468</v>
      </c>
      <c r="B64" t="s">
        <v>62</v>
      </c>
      <c r="C64" t="str">
        <f>VLOOKUP(A64,budget!$A$5:$I$337,3,FALSE)</f>
        <v>동화마을수목원</v>
      </c>
      <c r="D64" t="str">
        <f>VLOOKUP(B64,api!$A$2:$R$334,2,FALSE)</f>
        <v>원주시</v>
      </c>
      <c r="E64" t="str">
        <f>VLOOKUP(B64,api!$A$2:$R$334,12,FALSE)</f>
        <v>강원특별자치도 원주시 문막읍 동화리 산 154-1</v>
      </c>
      <c r="F64" t="s">
        <v>226</v>
      </c>
      <c r="G64" t="str">
        <f>VLOOKUP(A64,budget!$A$5:$I$337,4,FALSE)</f>
        <v>휴양림/수목원</v>
      </c>
      <c r="H64" t="s">
        <v>799</v>
      </c>
      <c r="I64" t="s">
        <v>800</v>
      </c>
      <c r="J64" t="str">
        <f>VLOOKUP(A64,budget!$A$5:$I$337,5,FALSE)</f>
        <v>09:00 - 18:00 (하절기) / 09:00 - 17:00 (동절기)</v>
      </c>
      <c r="K64" t="str">
        <f>VLOOKUP(B64,api!$A$2:$R$334,14,FALSE)</f>
        <v>033-746-8511</v>
      </c>
      <c r="L64" t="str">
        <f>VLOOKUP(B64,api!$A$2:$R$334,4,FALSE)</f>
        <v>https://www.wonju.go.kr/tour/contents.do?key=5718</v>
      </c>
      <c r="M64">
        <f>VLOOKUP(B64,api!$A$2:$R$334,5,FALSE)</f>
        <v>4.4000000000000004</v>
      </c>
      <c r="N64">
        <f>VLOOKUP(B64,api!$A$2:$R$334,6,FALSE)</f>
        <v>41</v>
      </c>
      <c r="O64">
        <f>VLOOKUP(B64,api!$A$2:$R$334,7,FALSE)</f>
        <v>183</v>
      </c>
      <c r="P64">
        <f>VLOOKUP(A64,budget!$A$5:$I$337,6,FALSE)</f>
        <v>1000</v>
      </c>
      <c r="Q64">
        <f>VLOOKUP(A64,budget!$A$5:$I$337,7,FALSE)</f>
        <v>5000</v>
      </c>
      <c r="R64" t="str">
        <f>VLOOKUP(A64,budget!$A$5:$I$337,8,FALSE)</f>
        <v>국공립/민간 휴양림 입장료 기준 (숙박/체험비 제외)</v>
      </c>
      <c r="S64" t="str">
        <f>VLOOKUP(A64,budget!$A$5:$I$337,9,FALSE)</f>
        <v>http://place.map.kakao.com/1099711468</v>
      </c>
      <c r="T64">
        <f>VLOOKUP(B64,api!$A$2:$R$334,17,FALSE)</f>
        <v>127.855599701901</v>
      </c>
      <c r="U64">
        <f>VLOOKUP(B64,api!$A$2:$R$334,18,FALSE)</f>
        <v>37.3143004503386</v>
      </c>
    </row>
    <row r="65" spans="1:21" x14ac:dyDescent="0.3">
      <c r="A65">
        <v>26274510</v>
      </c>
      <c r="B65" t="s">
        <v>63</v>
      </c>
      <c r="C65" t="str">
        <f>VLOOKUP(A65,budget!$A$5:$I$337,3,FALSE)</f>
        <v>라디오스타박물관</v>
      </c>
      <c r="D65" t="str">
        <f>VLOOKUP(B65,api!$A$2:$R$334,2,FALSE)</f>
        <v>영월군</v>
      </c>
      <c r="E65" t="str">
        <f>VLOOKUP(B65,api!$A$2:$R$334,12,FALSE)</f>
        <v>강원특별자치도 영월군 영월읍 영흥리 893-1</v>
      </c>
      <c r="F65" t="s">
        <v>225</v>
      </c>
      <c r="G65" t="str">
        <f>VLOOKUP(A65,budget!$A$5:$I$337,4,FALSE)</f>
        <v>문화/전람/동굴/전망시설</v>
      </c>
      <c r="H65" t="s">
        <v>792</v>
      </c>
      <c r="I65" t="s">
        <v>793</v>
      </c>
      <c r="J65" t="str">
        <f>VLOOKUP(A65,budget!$A$5:$I$337,5,FALSE)</f>
        <v>09:00 - 18:00 (입장마감 17:00, 월요일 휴무)</v>
      </c>
      <c r="K65" t="str">
        <f>VLOOKUP(B65,api!$A$2:$R$334,14,FALSE)</f>
        <v>033-372-8123</v>
      </c>
      <c r="L65" t="str">
        <f>VLOOKUP(B65,api!$A$2:$R$334,4,FALSE)</f>
        <v>http://www.radiostar.or.kr/</v>
      </c>
      <c r="M65">
        <f>VLOOKUP(B65,api!$A$2:$R$334,5,FALSE)</f>
        <v>3.9</v>
      </c>
      <c r="N65">
        <f>VLOOKUP(B65,api!$A$2:$R$334,6,FALSE)</f>
        <v>17</v>
      </c>
      <c r="O65">
        <f>VLOOKUP(B65,api!$A$2:$R$334,7,FALSE)</f>
        <v>100</v>
      </c>
      <c r="P65">
        <f>VLOOKUP(A65,budget!$A$5:$I$337,6,FALSE)</f>
        <v>2000</v>
      </c>
      <c r="Q65">
        <f>VLOOKUP(A65,budget!$A$5:$I$337,7,FALSE)</f>
        <v>10000</v>
      </c>
      <c r="R65" t="str">
        <f>VLOOKUP(A65,budget!$A$5:$I$337,8,FALSE)</f>
        <v>대인 관람료 및 전망대/스카이워크 이용료 기준</v>
      </c>
      <c r="S65" t="str">
        <f>VLOOKUP(A65,budget!$A$5:$I$337,9,FALSE)</f>
        <v>http://place.map.kakao.com/26274510</v>
      </c>
      <c r="T65">
        <f>VLOOKUP(B65,api!$A$2:$R$334,17,FALSE)</f>
        <v>128.47686753106001</v>
      </c>
      <c r="U65">
        <f>VLOOKUP(B65,api!$A$2:$R$334,18,FALSE)</f>
        <v>37.185246839470103</v>
      </c>
    </row>
    <row r="66" spans="1:21" x14ac:dyDescent="0.3">
      <c r="A66">
        <v>1571203637</v>
      </c>
      <c r="B66" t="s">
        <v>64</v>
      </c>
      <c r="C66" t="str">
        <f>VLOOKUP(A66,budget!$A$5:$I$337,3,FALSE)</f>
        <v>로미지안가든</v>
      </c>
      <c r="D66" t="str">
        <f>VLOOKUP(B66,api!$A$2:$R$334,2,FALSE)</f>
        <v>정선군</v>
      </c>
      <c r="E66" t="str">
        <f>VLOOKUP(B66,api!$A$2:$R$334,12,FALSE)</f>
        <v>강원특별자치도 정선군 북평면 나전리 산 119</v>
      </c>
      <c r="F66" t="s">
        <v>226</v>
      </c>
      <c r="G66" t="str">
        <f>VLOOKUP(A66,budget!$A$5:$I$337,4,FALSE)</f>
        <v>테마파크/민간관광지</v>
      </c>
      <c r="H66" t="s">
        <v>799</v>
      </c>
      <c r="I66" t="s">
        <v>800</v>
      </c>
      <c r="J66" t="str">
        <f>VLOOKUP(A66,budget!$A$5:$I$337,5,FALSE)</f>
        <v>10:00 - 18:00 (연중무휴/입장마감 17:00)</v>
      </c>
      <c r="K66" t="str">
        <f>VLOOKUP(B66,api!$A$2:$R$334,14,FALSE)</f>
        <v>02-3288-3377</v>
      </c>
      <c r="L66" t="str">
        <f>VLOOKUP(B66,api!$A$2:$R$334,4,FALSE)</f>
        <v>https://www.romyziangarden.com/</v>
      </c>
      <c r="M66">
        <f>VLOOKUP(B66,api!$A$2:$R$334,5,FALSE)</f>
        <v>0</v>
      </c>
      <c r="N66">
        <f>VLOOKUP(B66,api!$A$2:$R$334,6,FALSE)</f>
        <v>30</v>
      </c>
      <c r="O66">
        <f>VLOOKUP(B66,api!$A$2:$R$334,7,FALSE)</f>
        <v>47</v>
      </c>
      <c r="P66">
        <f>VLOOKUP(A66,budget!$A$5:$I$337,6,FALSE)</f>
        <v>8000</v>
      </c>
      <c r="Q66">
        <f>VLOOKUP(A66,budget!$A$5:$I$337,7,FALSE)</f>
        <v>20000</v>
      </c>
      <c r="R66" t="str">
        <f>VLOOKUP(A66,budget!$A$5:$I$337,8,FALSE)</f>
        <v>대인 정상 입장료 기준 (할인혜택/통합권 따라 변동)</v>
      </c>
      <c r="S66" t="str">
        <f>VLOOKUP(A66,budget!$A$5:$I$337,9,FALSE)</f>
        <v>http://place.map.kakao.com/1571203637</v>
      </c>
      <c r="T66">
        <f>VLOOKUP(B66,api!$A$2:$R$334,17,FALSE)</f>
        <v>128.64112301780099</v>
      </c>
      <c r="U66">
        <f>VLOOKUP(B66,api!$A$2:$R$334,18,FALSE)</f>
        <v>37.436430150030397</v>
      </c>
    </row>
    <row r="67" spans="1:21" x14ac:dyDescent="0.3">
      <c r="A67">
        <v>816303389</v>
      </c>
      <c r="B67" t="s">
        <v>65</v>
      </c>
      <c r="C67" t="str">
        <f>VLOOKUP(A67,budget!$A$5:$I$337,3,FALSE)</f>
        <v>망상오토캠핑리조트</v>
      </c>
      <c r="D67" t="str">
        <f>VLOOKUP(B67,api!$A$2:$R$334,2,FALSE)</f>
        <v>동해시</v>
      </c>
      <c r="E67" t="str">
        <f>VLOOKUP(B67,api!$A$2:$R$334,12,FALSE)</f>
        <v>강원특별자치도 동해시 망상동 393-39</v>
      </c>
      <c r="F67" t="s">
        <v>225</v>
      </c>
      <c r="G67" t="str">
        <f>VLOOKUP(A67,budget!$A$5:$I$337,4,FALSE)</f>
        <v>캠핑/숙박시설</v>
      </c>
      <c r="H67" t="s">
        <v>908</v>
      </c>
      <c r="I67" t="s">
        <v>909</v>
      </c>
      <c r="J67" t="str">
        <f>VLOOKUP(A67,budget!$A$5:$I$337,5,FALSE)</f>
        <v>입실 14:00 / 퇴실 11:00 (상시)</v>
      </c>
      <c r="K67" t="str">
        <f>VLOOKUP(B67,api!$A$2:$R$334,14,FALSE)</f>
        <v>033-539-3600</v>
      </c>
      <c r="L67" t="str">
        <f>VLOOKUP(B67,api!$A$2:$R$334,4,FALSE)</f>
        <v>https://www.campingkorea.or.kr/</v>
      </c>
      <c r="M67">
        <f>VLOOKUP(B67,api!$A$2:$R$334,5,FALSE)</f>
        <v>4.7</v>
      </c>
      <c r="N67">
        <f>VLOOKUP(B67,api!$A$2:$R$334,6,FALSE)</f>
        <v>40</v>
      </c>
      <c r="O67">
        <f>VLOOKUP(B67,api!$A$2:$R$334,7,FALSE)</f>
        <v>252</v>
      </c>
      <c r="P67">
        <f>VLOOKUP(A67,budget!$A$5:$I$337,6,FALSE)</f>
        <v>0</v>
      </c>
      <c r="Q67">
        <f>VLOOKUP(A67,budget!$A$5:$I$337,7,FALSE)</f>
        <v>0</v>
      </c>
      <c r="R67" t="str">
        <f>VLOOKUP(A67,budget!$A$5:$I$337,8,FALSE)</f>
        <v>시설 이용 고객 대상 (단순 둘러보기/입장 무료)</v>
      </c>
      <c r="S67" t="str">
        <f>VLOOKUP(A67,budget!$A$5:$I$337,9,FALSE)</f>
        <v>http://place.map.kakao.com/816303389</v>
      </c>
      <c r="T67">
        <f>VLOOKUP(B67,api!$A$2:$R$334,17,FALSE)</f>
        <v>129.07845639764901</v>
      </c>
      <c r="U67">
        <f>VLOOKUP(B67,api!$A$2:$R$334,18,FALSE)</f>
        <v>37.600421822234097</v>
      </c>
    </row>
    <row r="68" spans="1:21" x14ac:dyDescent="0.3">
      <c r="A68">
        <v>11081458</v>
      </c>
      <c r="B68" t="s">
        <v>66</v>
      </c>
      <c r="C68" t="str">
        <f>VLOOKUP(A68,budget!$A$5:$I$337,3,FALSE)</f>
        <v>망상해변</v>
      </c>
      <c r="D68" t="str">
        <f>VLOOKUP(B68,api!$A$2:$R$334,2,FALSE)</f>
        <v>동해시</v>
      </c>
      <c r="E68" t="str">
        <f>VLOOKUP(B68,api!$A$2:$R$334,12,FALSE)</f>
        <v>강원특별자치도 동해시 망상동 393-100</v>
      </c>
      <c r="F68" t="s">
        <v>226</v>
      </c>
      <c r="G68" t="str">
        <f>VLOOKUP(A68,budget!$A$5:$I$337,4,FALSE)</f>
        <v>자연경관/자유관광지</v>
      </c>
      <c r="H68" t="s">
        <v>799</v>
      </c>
      <c r="I68" t="s">
        <v>800</v>
      </c>
      <c r="J68" t="str">
        <f>VLOOKUP(A68,budget!$A$5:$I$337,5,FALSE)</f>
        <v>24시간 연중무휴 (자유 방문)</v>
      </c>
      <c r="K68" t="str">
        <f>VLOOKUP(B68,api!$A$2:$R$334,14,FALSE)</f>
        <v>033-530-2232</v>
      </c>
      <c r="L68" t="str">
        <f>VLOOKUP(B68,api!$A$2:$R$334,4,FALSE)</f>
        <v>http://www.dh.go.kr/tour/mangsang/</v>
      </c>
      <c r="M68">
        <f>VLOOKUP(B68,api!$A$2:$R$334,5,FALSE)</f>
        <v>4.5</v>
      </c>
      <c r="N68">
        <f>VLOOKUP(B68,api!$A$2:$R$334,6,FALSE)</f>
        <v>123</v>
      </c>
      <c r="O68">
        <f>VLOOKUP(B68,api!$A$2:$R$334,7,FALSE)</f>
        <v>12</v>
      </c>
      <c r="P68">
        <f>VLOOKUP(A68,budget!$A$5:$I$337,6,FALSE)</f>
        <v>0</v>
      </c>
      <c r="Q68">
        <f>VLOOKUP(A68,budget!$A$5:$I$337,7,FALSE)</f>
        <v>0</v>
      </c>
      <c r="R68" t="str">
        <f>VLOOKUP(A68,budget!$A$5:$I$337,8,FALSE)</f>
        <v>상시 무료 관람 (식음료 및 개인소모품비 제외)</v>
      </c>
      <c r="S68" t="str">
        <f>VLOOKUP(A68,budget!$A$5:$I$337,9,FALSE)</f>
        <v>http://place.map.kakao.com/11081458</v>
      </c>
      <c r="T68">
        <f>VLOOKUP(B68,api!$A$2:$R$334,17,FALSE)</f>
        <v>129.090473530107</v>
      </c>
      <c r="U68">
        <f>VLOOKUP(B68,api!$A$2:$R$334,18,FALSE)</f>
        <v>37.593373940653201</v>
      </c>
    </row>
    <row r="69" spans="1:21" x14ac:dyDescent="0.3">
      <c r="A69">
        <v>19125936</v>
      </c>
      <c r="B69" t="s">
        <v>67</v>
      </c>
      <c r="C69" t="str">
        <f>VLOOKUP(A69,budget!$A$5:$I$337,3,FALSE)</f>
        <v>매봉산 바람의언덕</v>
      </c>
      <c r="D69" t="str">
        <f>VLOOKUP(B69,api!$A$2:$R$334,2,FALSE)</f>
        <v>태백시</v>
      </c>
      <c r="E69" t="str">
        <f>VLOOKUP(B69,api!$A$2:$R$334,12,FALSE)</f>
        <v>강원특별자치도 태백시 창죽동 9-384</v>
      </c>
      <c r="F69" t="s">
        <v>226</v>
      </c>
      <c r="G69" t="str">
        <f>VLOOKUP(A69,budget!$A$5:$I$337,4,FALSE)</f>
        <v>자연경관/자유관광지</v>
      </c>
      <c r="J69" t="str">
        <f>VLOOKUP(A69,budget!$A$5:$I$337,5,FALSE)</f>
        <v>24시간 연중무휴 (자유 방문)</v>
      </c>
      <c r="K69" t="str">
        <f>VLOOKUP(B69,api!$A$2:$R$334,14,FALSE)</f>
        <v>033-550-2081</v>
      </c>
      <c r="L69" t="str">
        <f>VLOOKUP(B69,api!$A$2:$R$334,4,FALSE)</f>
        <v>https://tour.taebaek.go.kr/tour</v>
      </c>
      <c r="M69">
        <f>VLOOKUP(B69,api!$A$2:$R$334,5,FALSE)</f>
        <v>4</v>
      </c>
      <c r="N69">
        <f>VLOOKUP(B69,api!$A$2:$R$334,6,FALSE)</f>
        <v>90</v>
      </c>
      <c r="O69">
        <f>VLOOKUP(B69,api!$A$2:$R$334,7,FALSE)</f>
        <v>75</v>
      </c>
      <c r="P69">
        <f>VLOOKUP(A69,budget!$A$5:$I$337,6,FALSE)</f>
        <v>0</v>
      </c>
      <c r="Q69">
        <f>VLOOKUP(A69,budget!$A$5:$I$337,7,FALSE)</f>
        <v>0</v>
      </c>
      <c r="R69" t="str">
        <f>VLOOKUP(A69,budget!$A$5:$I$337,8,FALSE)</f>
        <v>상시 무료 관람 (식음료 및 개인소모품비 제외)</v>
      </c>
      <c r="S69" t="str">
        <f>VLOOKUP(A69,budget!$A$5:$I$337,9,FALSE)</f>
        <v>http://place.map.kakao.com/19125936</v>
      </c>
      <c r="T69">
        <f>VLOOKUP(B69,api!$A$2:$R$334,17,FALSE)</f>
        <v>128.96443180657201</v>
      </c>
      <c r="U69">
        <f>VLOOKUP(B69,api!$A$2:$R$334,18,FALSE)</f>
        <v>37.215112479800602</v>
      </c>
    </row>
    <row r="70" spans="1:21" x14ac:dyDescent="0.3">
      <c r="A70">
        <v>11250175</v>
      </c>
      <c r="B70" t="s">
        <v>68</v>
      </c>
      <c r="C70" t="str">
        <f>VLOOKUP(A70,budget!$A$5:$I$337,3,FALSE)</f>
        <v>무릉계곡힐링캠프장</v>
      </c>
      <c r="D70" t="str">
        <f>VLOOKUP(B70,api!$A$2:$R$334,2,FALSE)</f>
        <v>동해시</v>
      </c>
      <c r="E70" t="str">
        <f>VLOOKUP(B70,api!$A$2:$R$334,12,FALSE)</f>
        <v>강원특별자치도 동해시 삼화동 858-10</v>
      </c>
      <c r="F70" t="s">
        <v>226</v>
      </c>
      <c r="G70" t="str">
        <f>VLOOKUP(A70,budget!$A$5:$I$337,4,FALSE)</f>
        <v>자연경관/자유관광지</v>
      </c>
      <c r="H70" t="s">
        <v>908</v>
      </c>
      <c r="I70" t="s">
        <v>909</v>
      </c>
      <c r="J70" t="str">
        <f>VLOOKUP(A70,budget!$A$5:$I$337,5,FALSE)</f>
        <v>24시간 연중무휴 (자유 방문)</v>
      </c>
      <c r="K70" t="str">
        <f>VLOOKUP(B70,api!$A$2:$R$334,14,FALSE)</f>
        <v>033-539-3700</v>
      </c>
      <c r="L70" t="str">
        <f>VLOOKUP(B70,api!$A$2:$R$334,4,FALSE)</f>
        <v>https://www.mureungvalley.or.kr/</v>
      </c>
      <c r="M70">
        <f>VLOOKUP(B70,api!$A$2:$R$334,5,FALSE)</f>
        <v>3.8</v>
      </c>
      <c r="N70">
        <f>VLOOKUP(B70,api!$A$2:$R$334,6,FALSE)</f>
        <v>10</v>
      </c>
      <c r="O70">
        <f>VLOOKUP(B70,api!$A$2:$R$334,7,FALSE)</f>
        <v>25</v>
      </c>
      <c r="P70">
        <f>VLOOKUP(A70,budget!$A$5:$I$337,6,FALSE)</f>
        <v>0</v>
      </c>
      <c r="Q70">
        <f>VLOOKUP(A70,budget!$A$5:$I$337,7,FALSE)</f>
        <v>0</v>
      </c>
      <c r="R70" t="str">
        <f>VLOOKUP(A70,budget!$A$5:$I$337,8,FALSE)</f>
        <v>상시 무료 관람 (식음료 및 개인소모품비 제외)</v>
      </c>
      <c r="S70" t="str">
        <f>VLOOKUP(A70,budget!$A$5:$I$337,9,FALSE)</f>
        <v>http://place.map.kakao.com/11250175</v>
      </c>
      <c r="T70">
        <f>VLOOKUP(B70,api!$A$2:$R$334,17,FALSE)</f>
        <v>129.02728709114399</v>
      </c>
      <c r="U70">
        <f>VLOOKUP(B70,api!$A$2:$R$334,18,FALSE)</f>
        <v>37.464340924325498</v>
      </c>
    </row>
    <row r="71" spans="1:21" x14ac:dyDescent="0.3">
      <c r="A71">
        <v>8574564</v>
      </c>
      <c r="B71" t="s">
        <v>69</v>
      </c>
      <c r="C71" t="str">
        <f>VLOOKUP(A71,budget!$A$5:$I$337,3,FALSE)</f>
        <v>평창무이예술관</v>
      </c>
      <c r="D71" t="str">
        <f>VLOOKUP(B71,api!$A$2:$R$334,2,FALSE)</f>
        <v>평창군</v>
      </c>
      <c r="E71" t="str">
        <f>VLOOKUP(B71,api!$A$2:$R$334,12,FALSE)</f>
        <v>강원특별자치도 평창군 봉평면 무이리 58</v>
      </c>
      <c r="F71" t="s">
        <v>226</v>
      </c>
      <c r="G71" t="str">
        <f>VLOOKUP(A71,budget!$A$5:$I$337,4,FALSE)</f>
        <v>자연경관/자유관광지</v>
      </c>
      <c r="H71" t="s">
        <v>792</v>
      </c>
      <c r="I71" t="s">
        <v>793</v>
      </c>
      <c r="J71" t="str">
        <f>VLOOKUP(A71,budget!$A$5:$I$337,5,FALSE)</f>
        <v>상시 개방</v>
      </c>
      <c r="K71" t="str">
        <f>VLOOKUP(B71,api!$A$2:$R$334,14,FALSE)</f>
        <v>033-335-4118</v>
      </c>
      <c r="L71" t="str">
        <f>VLOOKUP(B71,api!$A$2:$R$334,4,FALSE)</f>
        <v>https://tour.pc.go.kr/Home/index</v>
      </c>
      <c r="M71">
        <f>VLOOKUP(B71,api!$A$2:$R$334,5,FALSE)</f>
        <v>3.3</v>
      </c>
      <c r="N71">
        <f>VLOOKUP(B71,api!$A$2:$R$334,6,FALSE)</f>
        <v>15</v>
      </c>
      <c r="O71">
        <f>VLOOKUP(B71,api!$A$2:$R$334,7,FALSE)</f>
        <v>82</v>
      </c>
      <c r="P71">
        <f>VLOOKUP(A71,budget!$A$5:$I$337,6,FALSE)</f>
        <v>0</v>
      </c>
      <c r="Q71">
        <f>VLOOKUP(A71,budget!$A$5:$I$337,7,FALSE)</f>
        <v>0</v>
      </c>
      <c r="R71" t="str">
        <f>VLOOKUP(A71,budget!$A$5:$I$337,8,FALSE)</f>
        <v>상시 무료 관람 (식음료 및 개인소모품비 제외)</v>
      </c>
      <c r="S71" t="str">
        <f>VLOOKUP(A71,budget!$A$5:$I$337,9,FALSE)</f>
        <v>http://place.map.kakao.com/8574564</v>
      </c>
      <c r="T71">
        <f>VLOOKUP(B71,api!$A$2:$R$334,17,FALSE)</f>
        <v>128.34887415429</v>
      </c>
      <c r="U71">
        <f>VLOOKUP(B71,api!$A$2:$R$334,18,FALSE)</f>
        <v>37.615793828386003</v>
      </c>
    </row>
    <row r="72" spans="1:21" x14ac:dyDescent="0.3">
      <c r="A72">
        <v>7880709</v>
      </c>
      <c r="B72" t="s">
        <v>70</v>
      </c>
      <c r="C72" t="str">
        <f>VLOOKUP(A72,budget!$A$5:$I$337,3,FALSE)</f>
        <v>묵호등대전망대</v>
      </c>
      <c r="D72" t="str">
        <f>VLOOKUP(B72,api!$A$2:$R$334,2,FALSE)</f>
        <v>동해시</v>
      </c>
      <c r="E72" t="str">
        <f>VLOOKUP(B72,api!$A$2:$R$334,12,FALSE)</f>
        <v>강원특별자치도 동해시 묵호진동 2-215</v>
      </c>
      <c r="F72" t="s">
        <v>226</v>
      </c>
      <c r="G72" t="str">
        <f>VLOOKUP(A72,budget!$A$5:$I$337,4,FALSE)</f>
        <v>자연경관/자유관광지</v>
      </c>
      <c r="H72" t="s">
        <v>799</v>
      </c>
      <c r="I72" t="s">
        <v>800</v>
      </c>
      <c r="J72" t="str">
        <f>VLOOKUP(A72,budget!$A$5:$I$337,5,FALSE)</f>
        <v>상시 개방</v>
      </c>
      <c r="K72">
        <f>VLOOKUP(B72,api!$A$2:$R$334,14,FALSE)</f>
        <v>0</v>
      </c>
      <c r="L72" t="str">
        <f>VLOOKUP(B72,api!$A$2:$R$334,4,FALSE)</f>
        <v>https://www.dh.go.kr/tour/index.htm</v>
      </c>
      <c r="M72">
        <f>VLOOKUP(B72,api!$A$2:$R$334,5,FALSE)</f>
        <v>4.2</v>
      </c>
      <c r="N72">
        <f>VLOOKUP(B72,api!$A$2:$R$334,6,FALSE)</f>
        <v>73</v>
      </c>
      <c r="O72">
        <f>VLOOKUP(B72,api!$A$2:$R$334,7,FALSE)</f>
        <v>7</v>
      </c>
      <c r="P72">
        <f>VLOOKUP(A72,budget!$A$5:$I$337,6,FALSE)</f>
        <v>0</v>
      </c>
      <c r="Q72">
        <f>VLOOKUP(A72,budget!$A$5:$I$337,7,FALSE)</f>
        <v>0</v>
      </c>
      <c r="R72" t="str">
        <f>VLOOKUP(A72,budget!$A$5:$I$337,8,FALSE)</f>
        <v>상시 무료 관람 (식음료 및 개인소모품비 제외)</v>
      </c>
      <c r="S72" t="str">
        <f>VLOOKUP(A72,budget!$A$5:$I$337,9,FALSE)</f>
        <v>http://place.map.kakao.com/7880709</v>
      </c>
      <c r="T72">
        <f>VLOOKUP(B72,api!$A$2:$R$334,17,FALSE)</f>
        <v>129.11861164433901</v>
      </c>
      <c r="U72">
        <f>VLOOKUP(B72,api!$A$2:$R$334,18,FALSE)</f>
        <v>37.554500914015698</v>
      </c>
    </row>
    <row r="73" spans="1:21" x14ac:dyDescent="0.3">
      <c r="A73">
        <v>1294246909</v>
      </c>
      <c r="B73" t="s">
        <v>71</v>
      </c>
      <c r="C73" t="str">
        <f>VLOOKUP(A73,budget!$A$5:$I$337,3,FALSE)</f>
        <v>문치재전망대</v>
      </c>
      <c r="D73" t="str">
        <f>VLOOKUP(B73,api!$A$2:$R$334,2,FALSE)</f>
        <v>정선군</v>
      </c>
      <c r="E73" t="str">
        <f>VLOOKUP(B73,api!$A$2:$R$334,12,FALSE)</f>
        <v>강원특별자치도 정선군 화암면 북동리 107-1</v>
      </c>
      <c r="F73" t="s">
        <v>226</v>
      </c>
      <c r="G73" t="str">
        <f>VLOOKUP(A73,budget!$A$5:$I$337,4,FALSE)</f>
        <v>자연경관/자유관광지</v>
      </c>
      <c r="H73" t="s">
        <v>799</v>
      </c>
      <c r="I73" t="s">
        <v>800</v>
      </c>
      <c r="J73" t="str">
        <f>VLOOKUP(A73,budget!$A$5:$I$337,5,FALSE)</f>
        <v>24시간 연중무휴 (자유 방문)</v>
      </c>
      <c r="K73">
        <f>VLOOKUP(B73,api!$A$2:$R$334,14,FALSE)</f>
        <v>0</v>
      </c>
      <c r="L73">
        <f>VLOOKUP(B73,api!$A$2:$R$334,4,FALSE)</f>
        <v>0</v>
      </c>
      <c r="M73">
        <f>VLOOKUP(B73,api!$A$2:$R$334,5,FALSE)</f>
        <v>4.2</v>
      </c>
      <c r="N73">
        <f>VLOOKUP(B73,api!$A$2:$R$334,6,FALSE)</f>
        <v>10</v>
      </c>
      <c r="O73">
        <f>VLOOKUP(B73,api!$A$2:$R$334,7,FALSE)</f>
        <v>12</v>
      </c>
      <c r="P73">
        <f>VLOOKUP(A73,budget!$A$5:$I$337,6,FALSE)</f>
        <v>0</v>
      </c>
      <c r="Q73">
        <f>VLOOKUP(A73,budget!$A$5:$I$337,7,FALSE)</f>
        <v>0</v>
      </c>
      <c r="R73" t="str">
        <f>VLOOKUP(A73,budget!$A$5:$I$337,8,FALSE)</f>
        <v>상시 무료 관람 (식음료 및 개인소모품비 제외)</v>
      </c>
      <c r="S73" t="str">
        <f>VLOOKUP(A73,budget!$A$5:$I$337,9,FALSE)</f>
        <v>http://place.map.kakao.com/1294246909</v>
      </c>
      <c r="T73">
        <f>VLOOKUP(B73,api!$A$2:$R$334,17,FALSE)</f>
        <v>128.79843576718</v>
      </c>
      <c r="U73">
        <f>VLOOKUP(B73,api!$A$2:$R$334,18,FALSE)</f>
        <v>37.365755753609101</v>
      </c>
    </row>
    <row r="74" spans="1:21" x14ac:dyDescent="0.3">
      <c r="A74">
        <v>21674777</v>
      </c>
      <c r="B74" t="s">
        <v>72</v>
      </c>
      <c r="C74" t="str">
        <f>VLOOKUP(A74,budget!$A$5:$I$337,3,FALSE)</f>
        <v>뮤지엄산</v>
      </c>
      <c r="D74" t="str">
        <f>VLOOKUP(B74,api!$A$2:$R$334,2,FALSE)</f>
        <v>원주시</v>
      </c>
      <c r="E74" t="str">
        <f>VLOOKUP(B74,api!$A$2:$R$334,12,FALSE)</f>
        <v>강원특별자치도 원주시 지정면 월송리 999-13</v>
      </c>
      <c r="F74" t="s">
        <v>226</v>
      </c>
      <c r="G74" t="str">
        <f>VLOOKUP(A74,budget!$A$5:$I$337,4,FALSE)</f>
        <v>자연경관/자유관광지</v>
      </c>
      <c r="H74" t="s">
        <v>792</v>
      </c>
      <c r="I74" t="s">
        <v>793</v>
      </c>
      <c r="J74" t="str">
        <f>VLOOKUP(A74,budget!$A$5:$I$337,5,FALSE)</f>
        <v>24시간 연중무휴 (자유 방문)</v>
      </c>
      <c r="K74" t="str">
        <f>VLOOKUP(B74,api!$A$2:$R$334,14,FALSE)</f>
        <v>033-730-9000</v>
      </c>
      <c r="L74" t="str">
        <f>VLOOKUP(B74,api!$A$2:$R$334,4,FALSE)</f>
        <v>http://www.museumsan.org/</v>
      </c>
      <c r="M74">
        <f>VLOOKUP(B74,api!$A$2:$R$334,5,FALSE)</f>
        <v>3.9</v>
      </c>
      <c r="N74">
        <f>VLOOKUP(B74,api!$A$2:$R$334,6,FALSE)</f>
        <v>271</v>
      </c>
      <c r="O74">
        <f>VLOOKUP(B74,api!$A$2:$R$334,7,FALSE)</f>
        <v>1220</v>
      </c>
      <c r="P74">
        <f>VLOOKUP(A74,budget!$A$5:$I$337,6,FALSE)</f>
        <v>0</v>
      </c>
      <c r="Q74">
        <f>VLOOKUP(A74,budget!$A$5:$I$337,7,FALSE)</f>
        <v>0</v>
      </c>
      <c r="R74" t="str">
        <f>VLOOKUP(A74,budget!$A$5:$I$337,8,FALSE)</f>
        <v>상시 무료 관람 (식음료 및 개인소모품비 제외)</v>
      </c>
      <c r="S74" t="str">
        <f>VLOOKUP(A74,budget!$A$5:$I$337,9,FALSE)</f>
        <v>http://place.map.kakao.com/21674777</v>
      </c>
      <c r="T74">
        <f>VLOOKUP(B74,api!$A$2:$R$334,17,FALSE)</f>
        <v>127.82371307885499</v>
      </c>
      <c r="U74">
        <f>VLOOKUP(B74,api!$A$2:$R$334,18,FALSE)</f>
        <v>37.415353343002302</v>
      </c>
    </row>
    <row r="75" spans="1:21" x14ac:dyDescent="0.3">
      <c r="A75">
        <v>27584256</v>
      </c>
      <c r="B75" t="s">
        <v>73</v>
      </c>
      <c r="C75" t="str">
        <f>VLOOKUP(A75,budget!$A$5:$I$337,3,FALSE)</f>
        <v>미로예술 원주중앙시장</v>
      </c>
      <c r="D75" t="str">
        <f>VLOOKUP(B75,api!$A$2:$R$334,2,FALSE)</f>
        <v>원주시</v>
      </c>
      <c r="E75" t="str">
        <f>VLOOKUP(B75,api!$A$2:$R$334,12,FALSE)</f>
        <v>강원특별자치도 원주시 중앙동 276</v>
      </c>
      <c r="F75" t="s">
        <v>225</v>
      </c>
      <c r="G75" t="str">
        <f>VLOOKUP(A75,budget!$A$5:$I$337,4,FALSE)</f>
        <v>자연경관/자유관광지</v>
      </c>
      <c r="J75" t="str">
        <f>VLOOKUP(A75,budget!$A$5:$I$337,5,FALSE)</f>
        <v>24시간 연중무휴 (자유 방문)</v>
      </c>
      <c r="K75" t="str">
        <f>VLOOKUP(B75,api!$A$2:$R$334,14,FALSE)</f>
        <v>033-743-2570</v>
      </c>
      <c r="L75" t="str">
        <f>VLOOKUP(B75,api!$A$2:$R$334,4,FALSE)</f>
        <v>https://www.instagram.com/miroart_market/?igshid=YmMyMTA2M2Y=</v>
      </c>
      <c r="M75">
        <f>VLOOKUP(B75,api!$A$2:$R$334,5,FALSE)</f>
        <v>3.9</v>
      </c>
      <c r="N75">
        <f>VLOOKUP(B75,api!$A$2:$R$334,6,FALSE)</f>
        <v>54</v>
      </c>
      <c r="O75">
        <f>VLOOKUP(B75,api!$A$2:$R$334,7,FALSE)</f>
        <v>59</v>
      </c>
      <c r="P75">
        <f>VLOOKUP(A75,budget!$A$5:$I$337,6,FALSE)</f>
        <v>0</v>
      </c>
      <c r="Q75">
        <f>VLOOKUP(A75,budget!$A$5:$I$337,7,FALSE)</f>
        <v>0</v>
      </c>
      <c r="R75" t="str">
        <f>VLOOKUP(A75,budget!$A$5:$I$337,8,FALSE)</f>
        <v>상시 무료 관람 (식음료 및 개인소모품비 제외)</v>
      </c>
      <c r="S75" t="str">
        <f>VLOOKUP(A75,budget!$A$5:$I$337,9,FALSE)</f>
        <v>http://place.map.kakao.com/27584256</v>
      </c>
      <c r="T75">
        <f>VLOOKUP(B75,api!$A$2:$R$334,17,FALSE)</f>
        <v>127.949466940969</v>
      </c>
      <c r="U75">
        <f>VLOOKUP(B75,api!$A$2:$R$334,18,FALSE)</f>
        <v>37.349747882586499</v>
      </c>
    </row>
    <row r="76" spans="1:21" x14ac:dyDescent="0.3">
      <c r="A76">
        <v>7887114</v>
      </c>
      <c r="B76" t="s">
        <v>74</v>
      </c>
      <c r="C76" t="str">
        <f>VLOOKUP(A76,budget!$A$5:$I$337,3,FALSE)</f>
        <v>민둥산</v>
      </c>
      <c r="D76" t="str">
        <f>VLOOKUP(B76,api!$A$2:$R$334,2,FALSE)</f>
        <v>정선군</v>
      </c>
      <c r="E76" t="str">
        <f>VLOOKUP(B76,api!$A$2:$R$334,12,FALSE)</f>
        <v>강원특별자치도 정선군 남면 무릉리</v>
      </c>
      <c r="F76" t="s">
        <v>226</v>
      </c>
      <c r="G76" t="str">
        <f>VLOOKUP(A76,budget!$A$5:$I$337,4,FALSE)</f>
        <v>자연경관/자유관광지</v>
      </c>
      <c r="H76" t="s">
        <v>799</v>
      </c>
      <c r="I76" t="s">
        <v>800</v>
      </c>
      <c r="J76" t="str">
        <f>VLOOKUP(A76,budget!$A$5:$I$337,5,FALSE)</f>
        <v>24시간 연중무휴 (자유 방문)</v>
      </c>
      <c r="K76">
        <f>VLOOKUP(B76,api!$A$2:$R$334,14,FALSE)</f>
        <v>0</v>
      </c>
      <c r="L76" t="str">
        <f>VLOOKUP(B76,api!$A$2:$R$334,4,FALSE)</f>
        <v>https://www.jeongseon.go.kr/tour</v>
      </c>
      <c r="M76">
        <f>VLOOKUP(B76,api!$A$2:$R$334,5,FALSE)</f>
        <v>4.5999999999999996</v>
      </c>
      <c r="N76">
        <f>VLOOKUP(B76,api!$A$2:$R$334,6,FALSE)</f>
        <v>127</v>
      </c>
      <c r="O76">
        <f>VLOOKUP(B76,api!$A$2:$R$334,7,FALSE)</f>
        <v>619</v>
      </c>
      <c r="P76">
        <f>VLOOKUP(A76,budget!$A$5:$I$337,6,FALSE)</f>
        <v>0</v>
      </c>
      <c r="Q76">
        <f>VLOOKUP(A76,budget!$A$5:$I$337,7,FALSE)</f>
        <v>0</v>
      </c>
      <c r="R76" t="str">
        <f>VLOOKUP(A76,budget!$A$5:$I$337,8,FALSE)</f>
        <v>상시 무료 관람 (식음료 및 개인소모품비 제외)</v>
      </c>
      <c r="S76" t="str">
        <f>VLOOKUP(A76,budget!$A$5:$I$337,9,FALSE)</f>
        <v>http://place.map.kakao.com/7887114</v>
      </c>
      <c r="T76">
        <f>VLOOKUP(B76,api!$A$2:$R$334,17,FALSE)</f>
        <v>128.77485717011999</v>
      </c>
      <c r="U76">
        <f>VLOOKUP(B76,api!$A$2:$R$334,18,FALSE)</f>
        <v>37.271066055812199</v>
      </c>
    </row>
    <row r="77" spans="1:21" x14ac:dyDescent="0.3">
      <c r="A77">
        <v>10399968</v>
      </c>
      <c r="B77" t="s">
        <v>75</v>
      </c>
      <c r="C77" t="str">
        <f>VLOOKUP(A77,budget!$A$5:$I$337,3,FALSE)</f>
        <v>박경리문학공원</v>
      </c>
      <c r="D77" t="str">
        <f>VLOOKUP(B77,api!$A$2:$R$334,2,FALSE)</f>
        <v>원주시</v>
      </c>
      <c r="E77" t="str">
        <f>VLOOKUP(B77,api!$A$2:$R$334,12,FALSE)</f>
        <v>강원특별자치도 원주시 단구동 1620-5</v>
      </c>
      <c r="F77" t="s">
        <v>226</v>
      </c>
      <c r="G77" t="str">
        <f>VLOOKUP(A77,budget!$A$5:$I$337,4,FALSE)</f>
        <v>자연경관/자유관광지</v>
      </c>
      <c r="J77" t="str">
        <f>VLOOKUP(A77,budget!$A$5:$I$337,5,FALSE)</f>
        <v>24시간 연중무휴 (자유 방문)</v>
      </c>
      <c r="K77" t="str">
        <f>VLOOKUP(B77,api!$A$2:$R$334,14,FALSE)</f>
        <v>033-762-6843</v>
      </c>
      <c r="L77" t="str">
        <f>VLOOKUP(B77,api!$A$2:$R$334,4,FALSE)</f>
        <v>https://www.wonju.go.kr/tojipark/index.do</v>
      </c>
      <c r="M77">
        <f>VLOOKUP(B77,api!$A$2:$R$334,5,FALSE)</f>
        <v>4.2</v>
      </c>
      <c r="N77">
        <f>VLOOKUP(B77,api!$A$2:$R$334,6,FALSE)</f>
        <v>12</v>
      </c>
      <c r="O77">
        <f>VLOOKUP(B77,api!$A$2:$R$334,7,FALSE)</f>
        <v>132</v>
      </c>
      <c r="P77">
        <f>VLOOKUP(A77,budget!$A$5:$I$337,6,FALSE)</f>
        <v>0</v>
      </c>
      <c r="Q77">
        <f>VLOOKUP(A77,budget!$A$5:$I$337,7,FALSE)</f>
        <v>0</v>
      </c>
      <c r="R77" t="str">
        <f>VLOOKUP(A77,budget!$A$5:$I$337,8,FALSE)</f>
        <v>상시 무료 관람 (식음료 및 개인소모품비 제외)</v>
      </c>
      <c r="S77" t="str">
        <f>VLOOKUP(A77,budget!$A$5:$I$337,9,FALSE)</f>
        <v>http://place.map.kakao.com/10399968</v>
      </c>
      <c r="T77">
        <f>VLOOKUP(B77,api!$A$2:$R$334,17,FALSE)</f>
        <v>127.95943272993701</v>
      </c>
      <c r="U77">
        <f>VLOOKUP(B77,api!$A$2:$R$334,18,FALSE)</f>
        <v>37.322269938960801</v>
      </c>
    </row>
    <row r="78" spans="1:21" x14ac:dyDescent="0.3">
      <c r="A78">
        <v>12463854</v>
      </c>
      <c r="B78" t="s">
        <v>76</v>
      </c>
      <c r="C78" t="str">
        <f>VLOOKUP(A78,budget!$A$5:$I$337,3,FALSE)</f>
        <v>박수근미술관</v>
      </c>
      <c r="D78" t="str">
        <f>VLOOKUP(B78,api!$A$2:$R$334,2,FALSE)</f>
        <v>양구군</v>
      </c>
      <c r="E78" t="str">
        <f>VLOOKUP(B78,api!$A$2:$R$334,12,FALSE)</f>
        <v>강원특별자치도 양구군 양구읍 정림리 131-1</v>
      </c>
      <c r="F78" t="s">
        <v>225</v>
      </c>
      <c r="G78" t="str">
        <f>VLOOKUP(A78,budget!$A$5:$I$337,4,FALSE)</f>
        <v>문화/전람/동굴/전망시설</v>
      </c>
      <c r="H78" t="s">
        <v>792</v>
      </c>
      <c r="I78" t="s">
        <v>793</v>
      </c>
      <c r="J78" t="str">
        <f>VLOOKUP(A78,budget!$A$5:$I$337,5,FALSE)</f>
        <v>09:00 - 18:00 (입장마감 17:00, 월요일 휴무)</v>
      </c>
      <c r="K78" t="str">
        <f>VLOOKUP(B78,api!$A$2:$R$334,14,FALSE)</f>
        <v>033-480-7228</v>
      </c>
      <c r="L78" t="str">
        <f>VLOOKUP(B78,api!$A$2:$R$334,4,FALSE)</f>
        <v>http://www.parksookeun.or.kr/</v>
      </c>
      <c r="M78">
        <f>VLOOKUP(B78,api!$A$2:$R$334,5,FALSE)</f>
        <v>4.3</v>
      </c>
      <c r="N78">
        <f>VLOOKUP(B78,api!$A$2:$R$334,6,FALSE)</f>
        <v>34</v>
      </c>
      <c r="O78">
        <f>VLOOKUP(B78,api!$A$2:$R$334,7,FALSE)</f>
        <v>51</v>
      </c>
      <c r="P78">
        <f>VLOOKUP(A78,budget!$A$5:$I$337,6,FALSE)</f>
        <v>2000</v>
      </c>
      <c r="Q78">
        <f>VLOOKUP(A78,budget!$A$5:$I$337,7,FALSE)</f>
        <v>10000</v>
      </c>
      <c r="R78" t="str">
        <f>VLOOKUP(A78,budget!$A$5:$I$337,8,FALSE)</f>
        <v>대인 관람료 및 전망대/스카이워크 이용료 기준</v>
      </c>
      <c r="S78" t="str">
        <f>VLOOKUP(A78,budget!$A$5:$I$337,9,FALSE)</f>
        <v>http://place.map.kakao.com/12463854</v>
      </c>
      <c r="T78">
        <f>VLOOKUP(B78,api!$A$2:$R$334,17,FALSE)</f>
        <v>127.981593044984</v>
      </c>
      <c r="U78">
        <f>VLOOKUP(B78,api!$A$2:$R$334,18,FALSE)</f>
        <v>38.096457280404699</v>
      </c>
    </row>
    <row r="79" spans="1:21" x14ac:dyDescent="0.3">
      <c r="A79">
        <v>18605694</v>
      </c>
      <c r="B79" t="s">
        <v>77</v>
      </c>
      <c r="C79" t="str">
        <f>VLOOKUP(A79,budget!$A$5:$I$337,3,FALSE)</f>
        <v>박인환문학관</v>
      </c>
      <c r="D79" t="str">
        <f>VLOOKUP(B79,api!$A$2:$R$334,2,FALSE)</f>
        <v>인제군</v>
      </c>
      <c r="E79" t="str">
        <f>VLOOKUP(B79,api!$A$2:$R$334,12,FALSE)</f>
        <v>강원특별자치도 인제군 인제읍 상동리 415-1</v>
      </c>
      <c r="F79" t="s">
        <v>225</v>
      </c>
      <c r="G79" t="str">
        <f>VLOOKUP(A79,budget!$A$5:$I$337,4,FALSE)</f>
        <v>국공립 박물관/기념관</v>
      </c>
      <c r="H79" t="s">
        <v>792</v>
      </c>
      <c r="I79" t="s">
        <v>793</v>
      </c>
      <c r="J79" t="str">
        <f>VLOOKUP(A79,budget!$A$5:$I$337,5,FALSE)</f>
        <v>09:00 - 18:00 (월요일 휴무)</v>
      </c>
      <c r="K79" t="str">
        <f>VLOOKUP(B79,api!$A$2:$R$334,14,FALSE)</f>
        <v>033-462-2086</v>
      </c>
      <c r="L79">
        <f>VLOOKUP(B79,api!$A$2:$R$334,4,FALSE)</f>
        <v>0</v>
      </c>
      <c r="M79">
        <f>VLOOKUP(B79,api!$A$2:$R$334,5,FALSE)</f>
        <v>3.8</v>
      </c>
      <c r="N79">
        <f>VLOOKUP(B79,api!$A$2:$R$334,6,FALSE)</f>
        <v>11</v>
      </c>
      <c r="O79">
        <f>VLOOKUP(B79,api!$A$2:$R$334,7,FALSE)</f>
        <v>93</v>
      </c>
      <c r="P79">
        <f>VLOOKUP(A79,budget!$A$5:$I$337,6,FALSE)</f>
        <v>0</v>
      </c>
      <c r="Q79">
        <f>VLOOKUP(A79,budget!$A$5:$I$337,7,FALSE)</f>
        <v>3000</v>
      </c>
      <c r="R79" t="str">
        <f>VLOOKUP(A79,budget!$A$5:$I$337,8,FALSE)</f>
        <v>국공립 시설 무료 관람 또는 대인 기준 정가</v>
      </c>
      <c r="S79" t="str">
        <f>VLOOKUP(A79,budget!$A$5:$I$337,9,FALSE)</f>
        <v>http://place.map.kakao.com/18605694</v>
      </c>
      <c r="T79">
        <f>VLOOKUP(B79,api!$A$2:$R$334,17,FALSE)</f>
        <v>128.171291869371</v>
      </c>
      <c r="U79">
        <f>VLOOKUP(B79,api!$A$2:$R$334,18,FALSE)</f>
        <v>38.062363657397903</v>
      </c>
    </row>
    <row r="80" spans="1:21" x14ac:dyDescent="0.3">
      <c r="A80">
        <v>8312554</v>
      </c>
      <c r="B80" t="s">
        <v>78</v>
      </c>
      <c r="C80" t="str">
        <f>VLOOKUP(A80,budget!$A$5:$I$337,3,FALSE)</f>
        <v>반계리 은행나무</v>
      </c>
      <c r="D80" t="str">
        <f>VLOOKUP(B80,api!$A$2:$R$334,2,FALSE)</f>
        <v>원주시</v>
      </c>
      <c r="E80" t="str">
        <f>VLOOKUP(B80,api!$A$2:$R$334,12,FALSE)</f>
        <v>강원특별자치도 원주시 문막읍 반계리 1495-1</v>
      </c>
      <c r="F80" t="s">
        <v>226</v>
      </c>
      <c r="G80" t="str">
        <f>VLOOKUP(A80,budget!$A$5:$I$337,4,FALSE)</f>
        <v>자연경관/자유관광지</v>
      </c>
      <c r="J80" t="str">
        <f>VLOOKUP(A80,budget!$A$5:$I$337,5,FALSE)</f>
        <v>상시 개방</v>
      </c>
      <c r="K80">
        <f>VLOOKUP(B80,api!$A$2:$R$334,14,FALSE)</f>
        <v>0</v>
      </c>
      <c r="L80" t="str">
        <f>VLOOKUP(B80,api!$A$2:$R$334,4,FALSE)</f>
        <v>https://www.wonju.go.kr/tour/index.do</v>
      </c>
      <c r="M80">
        <f>VLOOKUP(B80,api!$A$2:$R$334,5,FALSE)</f>
        <v>4.5999999999999996</v>
      </c>
      <c r="N80">
        <f>VLOOKUP(B80,api!$A$2:$R$334,6,FALSE)</f>
        <v>245</v>
      </c>
      <c r="O80">
        <f>VLOOKUP(B80,api!$A$2:$R$334,7,FALSE)</f>
        <v>613</v>
      </c>
      <c r="P80">
        <f>VLOOKUP(A80,budget!$A$5:$I$337,6,FALSE)</f>
        <v>0</v>
      </c>
      <c r="Q80">
        <f>VLOOKUP(A80,budget!$A$5:$I$337,7,FALSE)</f>
        <v>0</v>
      </c>
      <c r="R80" t="str">
        <f>VLOOKUP(A80,budget!$A$5:$I$337,8,FALSE)</f>
        <v>상시 무료 관람 (식음료 및 개인소모품비 제외)</v>
      </c>
      <c r="S80" t="str">
        <f>VLOOKUP(A80,budget!$A$5:$I$337,9,FALSE)</f>
        <v>http://place.map.kakao.com/8312554</v>
      </c>
      <c r="T80">
        <f>VLOOKUP(B80,api!$A$2:$R$334,17,FALSE)</f>
        <v>127.78843104877301</v>
      </c>
      <c r="U80">
        <f>VLOOKUP(B80,api!$A$2:$R$334,18,FALSE)</f>
        <v>37.294250088471301</v>
      </c>
    </row>
    <row r="81" spans="1:21" x14ac:dyDescent="0.3">
      <c r="A81">
        <v>7887560</v>
      </c>
      <c r="B81" t="s">
        <v>79</v>
      </c>
      <c r="C81" t="str">
        <f>VLOOKUP(A81,budget!$A$5:$I$337,3,FALSE)</f>
        <v>반곡역 (폐역)</v>
      </c>
      <c r="D81" t="str">
        <f>VLOOKUP(B81,api!$A$2:$R$334,2,FALSE)</f>
        <v>원주시</v>
      </c>
      <c r="E81" t="str">
        <f>VLOOKUP(B81,api!$A$2:$R$334,12,FALSE)</f>
        <v>강원특별자치도 원주시 반곡동 154</v>
      </c>
      <c r="F81" t="s">
        <v>226</v>
      </c>
      <c r="G81" t="str">
        <f>VLOOKUP(A81,budget!$A$5:$I$337,4,FALSE)</f>
        <v>자연경관/자유관광지</v>
      </c>
      <c r="J81" t="str">
        <f>VLOOKUP(A81,budget!$A$5:$I$337,5,FALSE)</f>
        <v>상시 개방</v>
      </c>
      <c r="K81">
        <f>VLOOKUP(B81,api!$A$2:$R$334,14,FALSE)</f>
        <v>0</v>
      </c>
      <c r="L81" t="str">
        <f>VLOOKUP(B81,api!$A$2:$R$334,4,FALSE)</f>
        <v>https://www.wonju.go.kr/tour/index.do</v>
      </c>
      <c r="M81">
        <f>VLOOKUP(B81,api!$A$2:$R$334,5,FALSE)</f>
        <v>4.5</v>
      </c>
      <c r="N81">
        <f>VLOOKUP(B81,api!$A$2:$R$334,6,FALSE)</f>
        <v>17</v>
      </c>
      <c r="O81">
        <f>VLOOKUP(B81,api!$A$2:$R$334,7,FALSE)</f>
        <v>21</v>
      </c>
      <c r="P81">
        <f>VLOOKUP(A81,budget!$A$5:$I$337,6,FALSE)</f>
        <v>0</v>
      </c>
      <c r="Q81">
        <f>VLOOKUP(A81,budget!$A$5:$I$337,7,FALSE)</f>
        <v>0</v>
      </c>
      <c r="R81" t="str">
        <f>VLOOKUP(A81,budget!$A$5:$I$337,8,FALSE)</f>
        <v>상시 무료 관람 (식음료 및 개인소모품비 제외)</v>
      </c>
      <c r="S81" t="str">
        <f>VLOOKUP(A81,budget!$A$5:$I$337,9,FALSE)</f>
        <v>http://place.map.kakao.com/7887560</v>
      </c>
      <c r="T81">
        <f>VLOOKUP(B81,api!$A$2:$R$334,17,FALSE)</f>
        <v>127.99439283237901</v>
      </c>
      <c r="U81">
        <f>VLOOKUP(B81,api!$A$2:$R$334,18,FALSE)</f>
        <v>37.322950757650403</v>
      </c>
    </row>
    <row r="82" spans="1:21" x14ac:dyDescent="0.3">
      <c r="A82">
        <v>8316285</v>
      </c>
      <c r="B82" t="s">
        <v>80</v>
      </c>
      <c r="C82" t="str">
        <f>VLOOKUP(A82,budget!$A$5:$I$337,3,FALSE)</f>
        <v>국립방태산자연휴양림</v>
      </c>
      <c r="D82" t="str">
        <f>VLOOKUP(B82,api!$A$2:$R$334,2,FALSE)</f>
        <v>인제군</v>
      </c>
      <c r="E82" t="str">
        <f>VLOOKUP(B82,api!$A$2:$R$334,12,FALSE)</f>
        <v>강원특별자치도 인제군 기린면 방동리 산 282-1</v>
      </c>
      <c r="F82" t="s">
        <v>226</v>
      </c>
      <c r="G82" t="str">
        <f>VLOOKUP(A82,budget!$A$5:$I$337,4,FALSE)</f>
        <v>휴양림/수목원</v>
      </c>
      <c r="H82" t="s">
        <v>799</v>
      </c>
      <c r="I82" t="s">
        <v>800</v>
      </c>
      <c r="J82" t="str">
        <f>VLOOKUP(A82,budget!$A$5:$I$337,5,FALSE)</f>
        <v>09:00 - 18:00 (화요일/월요일 휴무)</v>
      </c>
      <c r="K82" t="str">
        <f>VLOOKUP(B82,api!$A$2:$R$334,14,FALSE)</f>
        <v>033-463-8590</v>
      </c>
      <c r="L82" t="str">
        <f>VLOOKUP(B82,api!$A$2:$R$334,4,FALSE)</f>
        <v>https://www.foresttrip.go.kr/indvz/main.do?hmpgId=0109</v>
      </c>
      <c r="M82">
        <f>VLOOKUP(B82,api!$A$2:$R$334,5,FALSE)</f>
        <v>3.8</v>
      </c>
      <c r="N82">
        <f>VLOOKUP(B82,api!$A$2:$R$334,6,FALSE)</f>
        <v>19</v>
      </c>
      <c r="O82">
        <f>VLOOKUP(B82,api!$A$2:$R$334,7,FALSE)</f>
        <v>25</v>
      </c>
      <c r="P82">
        <f>VLOOKUP(A82,budget!$A$5:$I$337,6,FALSE)</f>
        <v>1000</v>
      </c>
      <c r="Q82">
        <f>VLOOKUP(A82,budget!$A$5:$I$337,7,FALSE)</f>
        <v>5000</v>
      </c>
      <c r="R82" t="str">
        <f>VLOOKUP(A82,budget!$A$5:$I$337,8,FALSE)</f>
        <v>국공립/민간 휴양림 입장료 기준 (숙박/체험비 제외)</v>
      </c>
      <c r="S82" t="str">
        <f>VLOOKUP(A82,budget!$A$5:$I$337,9,FALSE)</f>
        <v>http://place.map.kakao.com/8316285</v>
      </c>
      <c r="T82">
        <f>VLOOKUP(B82,api!$A$2:$R$334,17,FALSE)</f>
        <v>128.40082458087599</v>
      </c>
      <c r="U82">
        <f>VLOOKUP(B82,api!$A$2:$R$334,18,FALSE)</f>
        <v>37.921464652345001</v>
      </c>
    </row>
    <row r="83" spans="1:21" x14ac:dyDescent="0.3">
      <c r="A83">
        <v>11065471</v>
      </c>
      <c r="B83" t="s">
        <v>81</v>
      </c>
      <c r="C83" t="str">
        <f>VLOOKUP(A83,budget!$A$5:$I$337,3,FALSE)</f>
        <v>백담사</v>
      </c>
      <c r="D83" t="str">
        <f>VLOOKUP(B83,api!$A$2:$R$334,2,FALSE)</f>
        <v>인제군</v>
      </c>
      <c r="E83" t="str">
        <f>VLOOKUP(B83,api!$A$2:$R$334,12,FALSE)</f>
        <v>강원특별자치도 인제군 북면 용대리 산 62</v>
      </c>
      <c r="F83" t="s">
        <v>226</v>
      </c>
      <c r="G83" t="str">
        <f>VLOOKUP(A83,budget!$A$5:$I$337,4,FALSE)</f>
        <v>자연경관/자유관광지</v>
      </c>
      <c r="J83" t="str">
        <f>VLOOKUP(A83,budget!$A$5:$I$337,5,FALSE)</f>
        <v>05:00 - 18:00 (일몰 시까지)</v>
      </c>
      <c r="K83" t="str">
        <f>VLOOKUP(B83,api!$A$2:$R$334,14,FALSE)</f>
        <v>033-462-5565</v>
      </c>
      <c r="L83">
        <f>VLOOKUP(B83,api!$A$2:$R$334,4,FALSE)</f>
        <v>0</v>
      </c>
      <c r="M83">
        <f>VLOOKUP(B83,api!$A$2:$R$334,5,FALSE)</f>
        <v>3.4</v>
      </c>
      <c r="N83">
        <f>VLOOKUP(B83,api!$A$2:$R$334,6,FALSE)</f>
        <v>80</v>
      </c>
      <c r="O83">
        <f>VLOOKUP(B83,api!$A$2:$R$334,7,FALSE)</f>
        <v>215</v>
      </c>
      <c r="P83">
        <f>VLOOKUP(A83,budget!$A$5:$I$337,6,FALSE)</f>
        <v>0</v>
      </c>
      <c r="Q83">
        <f>VLOOKUP(A83,budget!$A$5:$I$337,7,FALSE)</f>
        <v>0</v>
      </c>
      <c r="R83" t="str">
        <f>VLOOKUP(A83,budget!$A$5:$I$337,8,FALSE)</f>
        <v>상시 무료 관람 (식음료 및 개인소모품비 제외)</v>
      </c>
      <c r="S83" t="str">
        <f>VLOOKUP(A83,budget!$A$5:$I$337,9,FALSE)</f>
        <v>http://place.map.kakao.com/11065471</v>
      </c>
      <c r="T83">
        <f>VLOOKUP(B83,api!$A$2:$R$334,17,FALSE)</f>
        <v>128.37379323474599</v>
      </c>
      <c r="U83">
        <f>VLOOKUP(B83,api!$A$2:$R$334,18,FALSE)</f>
        <v>38.164963292588197</v>
      </c>
    </row>
    <row r="84" spans="1:21" x14ac:dyDescent="0.3">
      <c r="A84">
        <v>1905804128</v>
      </c>
      <c r="B84" t="s">
        <v>82</v>
      </c>
      <c r="C84" t="str">
        <f>VLOOKUP(A84,budget!$A$5:$I$337,3,FALSE)</f>
        <v>백섬해상전망대</v>
      </c>
      <c r="D84" t="str">
        <f>VLOOKUP(B84,api!$A$2:$R$334,2,FALSE)</f>
        <v>고성군</v>
      </c>
      <c r="E84" t="str">
        <f>VLOOKUP(B84,api!$A$2:$R$334,12,FALSE)</f>
        <v>강원특별자치도 고성군 거진읍 거진리 산 105</v>
      </c>
      <c r="F84" t="s">
        <v>226</v>
      </c>
      <c r="G84" t="str">
        <f>VLOOKUP(A84,budget!$A$5:$I$337,4,FALSE)</f>
        <v>자연경관/자유관광지</v>
      </c>
      <c r="H84" t="s">
        <v>799</v>
      </c>
      <c r="I84" t="s">
        <v>800</v>
      </c>
      <c r="J84" t="str">
        <f>VLOOKUP(A84,budget!$A$5:$I$337,5,FALSE)</f>
        <v>24시간 연중무휴 (자유 방문)</v>
      </c>
      <c r="K84">
        <f>VLOOKUP(B84,api!$A$2:$R$334,14,FALSE)</f>
        <v>0</v>
      </c>
      <c r="L84" t="str">
        <f>VLOOKUP(B84,api!$A$2:$R$334,4,FALSE)</f>
        <v>https://www.gwgs.go.kr/tour/index.do</v>
      </c>
      <c r="M84">
        <f>VLOOKUP(B84,api!$A$2:$R$334,5,FALSE)</f>
        <v>4.5</v>
      </c>
      <c r="N84">
        <f>VLOOKUP(B84,api!$A$2:$R$334,6,FALSE)</f>
        <v>37</v>
      </c>
      <c r="O84">
        <f>VLOOKUP(B84,api!$A$2:$R$334,7,FALSE)</f>
        <v>215</v>
      </c>
      <c r="P84">
        <f>VLOOKUP(A84,budget!$A$5:$I$337,6,FALSE)</f>
        <v>0</v>
      </c>
      <c r="Q84">
        <f>VLOOKUP(A84,budget!$A$5:$I$337,7,FALSE)</f>
        <v>0</v>
      </c>
      <c r="R84" t="str">
        <f>VLOOKUP(A84,budget!$A$5:$I$337,8,FALSE)</f>
        <v>상시 무료 관람 (식음료 및 개인소모품비 제외)</v>
      </c>
      <c r="S84" t="str">
        <f>VLOOKUP(A84,budget!$A$5:$I$337,9,FALSE)</f>
        <v>http://place.map.kakao.com/1905804128</v>
      </c>
      <c r="T84">
        <f>VLOOKUP(B84,api!$A$2:$R$334,17,FALSE)</f>
        <v>128.46831891732299</v>
      </c>
      <c r="U84">
        <f>VLOOKUP(B84,api!$A$2:$R$334,18,FALSE)</f>
        <v>38.450243630376299</v>
      </c>
    </row>
    <row r="85" spans="1:21" x14ac:dyDescent="0.3">
      <c r="A85">
        <v>1427819338</v>
      </c>
      <c r="B85" t="s">
        <v>83</v>
      </c>
      <c r="C85" t="str">
        <f>VLOOKUP(A85,budget!$A$5:$I$337,3,FALSE)</f>
        <v>백암산케이블카</v>
      </c>
      <c r="D85" t="str">
        <f>VLOOKUP(B85,api!$A$2:$R$334,2,FALSE)</f>
        <v>화천군</v>
      </c>
      <c r="E85" t="str">
        <f>VLOOKUP(B85,api!$A$2:$R$334,12,FALSE)</f>
        <v>강원특별자치도 화천군 화천읍 하리 43-53</v>
      </c>
      <c r="F85" t="s">
        <v>226</v>
      </c>
      <c r="G85" t="str">
        <f>VLOOKUP(A85,budget!$A$5:$I$337,4,FALSE)</f>
        <v>체험/액티비티</v>
      </c>
      <c r="J85" t="str">
        <f>VLOOKUP(A85,budget!$A$5:$I$337,5,FALSE)</f>
        <v>09:00 - 18:00 (매표마감 17:00)</v>
      </c>
      <c r="K85" t="str">
        <f>VLOOKUP(B85,api!$A$2:$R$334,14,FALSE)</f>
        <v>0507-1361-2708</v>
      </c>
      <c r="L85" t="str">
        <f>VLOOKUP(B85,api!$A$2:$R$334,4,FALSE)</f>
        <v>https://baegamcable.ihc.go.kr/portal</v>
      </c>
      <c r="M85">
        <f>VLOOKUP(B85,api!$A$2:$R$334,5,FALSE)</f>
        <v>2</v>
      </c>
      <c r="N85">
        <f>VLOOKUP(B85,api!$A$2:$R$334,6,FALSE)</f>
        <v>7</v>
      </c>
      <c r="O85">
        <f>VLOOKUP(B85,api!$A$2:$R$334,7,FALSE)</f>
        <v>1</v>
      </c>
      <c r="P85">
        <f>VLOOKUP(A85,budget!$A$5:$I$337,6,FALSE)</f>
        <v>10000</v>
      </c>
      <c r="Q85">
        <f>VLOOKUP(A85,budget!$A$5:$I$337,7,FALSE)</f>
        <v>35000</v>
      </c>
      <c r="R85" t="str">
        <f>VLOOKUP(A85,budget!$A$5:$I$337,8,FALSE)</f>
        <v>1인 승선/체험권 기준 (코스 및 이용 상품에 따라 변동)</v>
      </c>
      <c r="S85" t="str">
        <f>VLOOKUP(A85,budget!$A$5:$I$337,9,FALSE)</f>
        <v>http://place.map.kakao.com/1427819338</v>
      </c>
      <c r="T85">
        <f>VLOOKUP(B85,api!$A$2:$R$334,17,FALSE)</f>
        <v>127.704289518856</v>
      </c>
      <c r="U85">
        <f>VLOOKUP(B85,api!$A$2:$R$334,18,FALSE)</f>
        <v>38.104468229400801</v>
      </c>
    </row>
    <row r="86" spans="1:21" x14ac:dyDescent="0.3">
      <c r="A86">
        <v>15280358</v>
      </c>
      <c r="B86" t="s">
        <v>84</v>
      </c>
      <c r="C86" t="str">
        <f>VLOOKUP(A86,budget!$A$5:$I$337,3,FALSE)</f>
        <v>별마로천문대</v>
      </c>
      <c r="D86" t="str">
        <f>VLOOKUP(B86,api!$A$2:$R$334,2,FALSE)</f>
        <v>영월군</v>
      </c>
      <c r="E86" t="str">
        <f>VLOOKUP(B86,api!$A$2:$R$334,12,FALSE)</f>
        <v>강원특별자치도 영월군 영월읍 영흥리 154-3</v>
      </c>
      <c r="F86" t="s">
        <v>225</v>
      </c>
      <c r="G86" t="str">
        <f>VLOOKUP(A86,budget!$A$5:$I$337,4,FALSE)</f>
        <v>문화/전람/동굴/전망시설</v>
      </c>
      <c r="H86" t="s">
        <v>799</v>
      </c>
      <c r="I86" t="s">
        <v>800</v>
      </c>
      <c r="J86" t="str">
        <f>VLOOKUP(A86,budget!$A$5:$I$337,5,FALSE)</f>
        <v>09:00 - 18:00 (입장마감 17:00, 월요일 휴무)</v>
      </c>
      <c r="K86" t="str">
        <f>VLOOKUP(B86,api!$A$2:$R$334,14,FALSE)</f>
        <v>033-372-8445</v>
      </c>
      <c r="L86" t="str">
        <f>VLOOKUP(B86,api!$A$2:$R$334,4,FALSE)</f>
        <v>https://www.yao.or.kr:451/</v>
      </c>
      <c r="M86">
        <f>VLOOKUP(B86,api!$A$2:$R$334,5,FALSE)</f>
        <v>4.5</v>
      </c>
      <c r="N86">
        <f>VLOOKUP(B86,api!$A$2:$R$334,6,FALSE)</f>
        <v>95</v>
      </c>
      <c r="O86">
        <f>VLOOKUP(B86,api!$A$2:$R$334,7,FALSE)</f>
        <v>185</v>
      </c>
      <c r="P86">
        <f>VLOOKUP(A86,budget!$A$5:$I$337,6,FALSE)</f>
        <v>2000</v>
      </c>
      <c r="Q86">
        <f>VLOOKUP(A86,budget!$A$5:$I$337,7,FALSE)</f>
        <v>10000</v>
      </c>
      <c r="R86" t="str">
        <f>VLOOKUP(A86,budget!$A$5:$I$337,8,FALSE)</f>
        <v>대인 관람료 및 전망대/스카이워크 이용료 기준</v>
      </c>
      <c r="S86" t="str">
        <f>VLOOKUP(A86,budget!$A$5:$I$337,9,FALSE)</f>
        <v>http://place.map.kakao.com/15280358</v>
      </c>
      <c r="T86">
        <f>VLOOKUP(B86,api!$A$2:$R$334,17,FALSE)</f>
        <v>128.48678249137399</v>
      </c>
      <c r="U86">
        <f>VLOOKUP(B86,api!$A$2:$R$334,18,FALSE)</f>
        <v>37.1983292396148</v>
      </c>
    </row>
    <row r="87" spans="1:21" x14ac:dyDescent="0.3">
      <c r="A87">
        <v>17305177</v>
      </c>
      <c r="B87" t="s">
        <v>85</v>
      </c>
      <c r="C87" t="str">
        <f>VLOOKUP(A87,budget!$A$5:$I$337,3,FALSE)</f>
        <v>병방치 스카이워크</v>
      </c>
      <c r="D87" t="str">
        <f>VLOOKUP(B87,api!$A$2:$R$334,2,FALSE)</f>
        <v>정선군</v>
      </c>
      <c r="E87" t="str">
        <f>VLOOKUP(B87,api!$A$2:$R$334,12,FALSE)</f>
        <v>강원특별자치도 정선군 정선읍 귤암리 산 200-6</v>
      </c>
      <c r="F87" t="s">
        <v>226</v>
      </c>
      <c r="G87" t="str">
        <f>VLOOKUP(A87,budget!$A$5:$I$337,4,FALSE)</f>
        <v>문화/전람/동굴/전망시설</v>
      </c>
      <c r="H87" t="s">
        <v>799</v>
      </c>
      <c r="I87" t="s">
        <v>800</v>
      </c>
      <c r="J87" t="str">
        <f>VLOOKUP(A87,budget!$A$5:$I$337,5,FALSE)</f>
        <v>10:00 - 18:00 (하절기/주말 연장운영)</v>
      </c>
      <c r="K87" t="str">
        <f>VLOOKUP(B87,api!$A$2:$R$334,14,FALSE)</f>
        <v>033-563-4100</v>
      </c>
      <c r="L87" t="str">
        <f>VLOOKUP(B87,api!$A$2:$R$334,4,FALSE)</f>
        <v>https://www.ariihills.co.kr/</v>
      </c>
      <c r="M87">
        <f>VLOOKUP(B87,api!$A$2:$R$334,5,FALSE)</f>
        <v>3.2</v>
      </c>
      <c r="N87">
        <f>VLOOKUP(B87,api!$A$2:$R$334,6,FALSE)</f>
        <v>75</v>
      </c>
      <c r="O87">
        <f>VLOOKUP(B87,api!$A$2:$R$334,7,FALSE)</f>
        <v>117</v>
      </c>
      <c r="P87">
        <f>VLOOKUP(A87,budget!$A$5:$I$337,6,FALSE)</f>
        <v>2000</v>
      </c>
      <c r="Q87">
        <f>VLOOKUP(A87,budget!$A$5:$I$337,7,FALSE)</f>
        <v>10000</v>
      </c>
      <c r="R87" t="str">
        <f>VLOOKUP(A87,budget!$A$5:$I$337,8,FALSE)</f>
        <v>대인 관람료 및 전망대/스카이워크 이용료 기준</v>
      </c>
      <c r="S87" t="str">
        <f>VLOOKUP(A87,budget!$A$5:$I$337,9,FALSE)</f>
        <v>http://place.map.kakao.com/17305177</v>
      </c>
      <c r="T87">
        <f>VLOOKUP(B87,api!$A$2:$R$334,17,FALSE)</f>
        <v>128.63549972918301</v>
      </c>
      <c r="U87">
        <f>VLOOKUP(B87,api!$A$2:$R$334,18,FALSE)</f>
        <v>37.362080048812501</v>
      </c>
    </row>
    <row r="88" spans="1:21" x14ac:dyDescent="0.3">
      <c r="A88">
        <v>21054698</v>
      </c>
      <c r="B88" t="s">
        <v>86</v>
      </c>
      <c r="C88" t="str">
        <f>VLOOKUP(A88,budget!$A$5:$I$337,3,FALSE)</f>
        <v>병지방오토캠핑장</v>
      </c>
      <c r="D88" t="str">
        <f>VLOOKUP(B88,api!$A$2:$R$334,2,FALSE)</f>
        <v>횡성군</v>
      </c>
      <c r="E88" t="str">
        <f>VLOOKUP(B88,api!$A$2:$R$334,12,FALSE)</f>
        <v>강원특별자치도 횡성군 갑천면 병지방리 540-4</v>
      </c>
      <c r="F88" t="s">
        <v>226</v>
      </c>
      <c r="G88" t="str">
        <f>VLOOKUP(A88,budget!$A$5:$I$337,4,FALSE)</f>
        <v>캠핑/숙박시설</v>
      </c>
      <c r="H88" t="s">
        <v>908</v>
      </c>
      <c r="I88" t="s">
        <v>909</v>
      </c>
      <c r="J88" t="str">
        <f>VLOOKUP(A88,budget!$A$5:$I$337,5,FALSE)</f>
        <v>입실 14:00 / 퇴실 11:00 (상시)</v>
      </c>
      <c r="K88" t="str">
        <f>VLOOKUP(B88,api!$A$2:$R$334,14,FALSE)</f>
        <v>033-343-7639</v>
      </c>
      <c r="L88" t="str">
        <f>VLOOKUP(B88,api!$A$2:$R$334,4,FALSE)</f>
        <v>http://xn--vh3b1l64u9pb68d9xkusfbqi.kr/</v>
      </c>
      <c r="M88">
        <f>VLOOKUP(B88,api!$A$2:$R$334,5,FALSE)</f>
        <v>3.6</v>
      </c>
      <c r="N88">
        <f>VLOOKUP(B88,api!$A$2:$R$334,6,FALSE)</f>
        <v>11</v>
      </c>
      <c r="O88">
        <f>VLOOKUP(B88,api!$A$2:$R$334,7,FALSE)</f>
        <v>20</v>
      </c>
      <c r="P88">
        <f>VLOOKUP(A88,budget!$A$5:$I$337,6,FALSE)</f>
        <v>0</v>
      </c>
      <c r="Q88">
        <f>VLOOKUP(A88,budget!$A$5:$I$337,7,FALSE)</f>
        <v>0</v>
      </c>
      <c r="R88" t="str">
        <f>VLOOKUP(A88,budget!$A$5:$I$337,8,FALSE)</f>
        <v>시설 이용 고객 대상 (단순 둘러보기/입장 무료)</v>
      </c>
      <c r="S88" t="str">
        <f>VLOOKUP(A88,budget!$A$5:$I$337,9,FALSE)</f>
        <v>http://place.map.kakao.com/21054698</v>
      </c>
      <c r="T88">
        <f>VLOOKUP(B88,api!$A$2:$R$334,17,FALSE)</f>
        <v>128.057518482825</v>
      </c>
      <c r="U88">
        <f>VLOOKUP(B88,api!$A$2:$R$334,18,FALSE)</f>
        <v>37.593809534921299</v>
      </c>
    </row>
    <row r="89" spans="1:21" x14ac:dyDescent="0.3">
      <c r="A89">
        <v>11057558</v>
      </c>
      <c r="B89" t="s">
        <v>87</v>
      </c>
      <c r="C89" t="str">
        <f>VLOOKUP(A89,budget!$A$5:$I$337,3,FALSE)</f>
        <v>봉수대해변</v>
      </c>
      <c r="D89" t="str">
        <f>VLOOKUP(B89,api!$A$2:$R$334,2,FALSE)</f>
        <v>고성군</v>
      </c>
      <c r="E89" t="str">
        <f>VLOOKUP(B89,api!$A$2:$R$334,12,FALSE)</f>
        <v>강원특별자치도 고성군 죽왕면 오호리 68-10</v>
      </c>
      <c r="F89" t="s">
        <v>226</v>
      </c>
      <c r="G89" t="str">
        <f>VLOOKUP(A89,budget!$A$5:$I$337,4,FALSE)</f>
        <v>자연경관/자유관광지</v>
      </c>
      <c r="H89" t="s">
        <v>799</v>
      </c>
      <c r="I89" t="s">
        <v>800</v>
      </c>
      <c r="J89" t="str">
        <f>VLOOKUP(A89,budget!$A$5:$I$337,5,FALSE)</f>
        <v>24시간 연중무휴 (자유 방문)</v>
      </c>
      <c r="K89">
        <f>VLOOKUP(B89,api!$A$2:$R$334,14,FALSE)</f>
        <v>0</v>
      </c>
      <c r="L89" t="str">
        <f>VLOOKUP(B89,api!$A$2:$R$334,4,FALSE)</f>
        <v>https://www.gwgs.go.kr/tour/index.do</v>
      </c>
      <c r="M89">
        <f>VLOOKUP(B89,api!$A$2:$R$334,5,FALSE)</f>
        <v>4.8</v>
      </c>
      <c r="N89">
        <f>VLOOKUP(B89,api!$A$2:$R$334,6,FALSE)</f>
        <v>14</v>
      </c>
      <c r="O89">
        <f>VLOOKUP(B89,api!$A$2:$R$334,7,FALSE)</f>
        <v>3</v>
      </c>
      <c r="P89">
        <f>VLOOKUP(A89,budget!$A$5:$I$337,6,FALSE)</f>
        <v>0</v>
      </c>
      <c r="Q89">
        <f>VLOOKUP(A89,budget!$A$5:$I$337,7,FALSE)</f>
        <v>0</v>
      </c>
      <c r="R89" t="str">
        <f>VLOOKUP(A89,budget!$A$5:$I$337,8,FALSE)</f>
        <v>상시 무료 관람 (식음료 및 개인소모품비 제외)</v>
      </c>
      <c r="S89" t="str">
        <f>VLOOKUP(A89,budget!$A$5:$I$337,9,FALSE)</f>
        <v>http://place.map.kakao.com/11057558</v>
      </c>
      <c r="T89">
        <f>VLOOKUP(B89,api!$A$2:$R$334,17,FALSE)</f>
        <v>128.52743194639299</v>
      </c>
      <c r="U89">
        <f>VLOOKUP(B89,api!$A$2:$R$334,18,FALSE)</f>
        <v>38.323891579344298</v>
      </c>
    </row>
    <row r="90" spans="1:21" x14ac:dyDescent="0.3">
      <c r="A90">
        <v>18525008</v>
      </c>
      <c r="B90" t="s">
        <v>88</v>
      </c>
      <c r="C90" t="str">
        <f>VLOOKUP(A90,budget!$A$5:$I$337,3,FALSE)</f>
        <v>봉평전통시장</v>
      </c>
      <c r="D90" t="str">
        <f>VLOOKUP(B90,api!$A$2:$R$334,2,FALSE)</f>
        <v>평창군</v>
      </c>
      <c r="E90" t="str">
        <f>VLOOKUP(B90,api!$A$2:$R$334,12,FALSE)</f>
        <v>강원특별자치도 평창군 봉평면 창동리 280-6</v>
      </c>
      <c r="F90" t="s">
        <v>226</v>
      </c>
      <c r="G90" t="str">
        <f>VLOOKUP(A90,budget!$A$5:$I$337,4,FALSE)</f>
        <v>자연경관/자유관광지</v>
      </c>
      <c r="J90" t="str">
        <f>VLOOKUP(A90,budget!$A$5:$I$337,5,FALSE)</f>
        <v>24시간 연중무휴 (자유 방문)</v>
      </c>
      <c r="K90">
        <f>VLOOKUP(B90,api!$A$2:$R$334,14,FALSE)</f>
        <v>0</v>
      </c>
      <c r="L90" t="str">
        <f>VLOOKUP(B90,api!$A$2:$R$334,4,FALSE)</f>
        <v>https://tour.pc.go.kr/Home/index</v>
      </c>
      <c r="M90">
        <f>VLOOKUP(B90,api!$A$2:$R$334,5,FALSE)</f>
        <v>4.4000000000000004</v>
      </c>
      <c r="N90">
        <f>VLOOKUP(B90,api!$A$2:$R$334,6,FALSE)</f>
        <v>21</v>
      </c>
      <c r="O90">
        <f>VLOOKUP(B90,api!$A$2:$R$334,7,FALSE)</f>
        <v>2</v>
      </c>
      <c r="P90">
        <f>VLOOKUP(A90,budget!$A$5:$I$337,6,FALSE)</f>
        <v>0</v>
      </c>
      <c r="Q90">
        <f>VLOOKUP(A90,budget!$A$5:$I$337,7,FALSE)</f>
        <v>0</v>
      </c>
      <c r="R90" t="str">
        <f>VLOOKUP(A90,budget!$A$5:$I$337,8,FALSE)</f>
        <v>상시 무료 관람 (식음료 및 개인소모품비 제외)</v>
      </c>
      <c r="S90" t="str">
        <f>VLOOKUP(A90,budget!$A$5:$I$337,9,FALSE)</f>
        <v>http://place.map.kakao.com/18525008</v>
      </c>
      <c r="T90">
        <f>VLOOKUP(B90,api!$A$2:$R$334,17,FALSE)</f>
        <v>128.37765156238399</v>
      </c>
      <c r="U90">
        <f>VLOOKUP(B90,api!$A$2:$R$334,18,FALSE)</f>
        <v>37.615367623403699</v>
      </c>
    </row>
    <row r="91" spans="1:21" x14ac:dyDescent="0.3">
      <c r="A91">
        <v>1986449214</v>
      </c>
      <c r="B91" t="s">
        <v>89</v>
      </c>
      <c r="C91" t="str">
        <f>VLOOKUP(A91,budget!$A$5:$I$337,3,FALSE)</f>
        <v>화천산천어파크골프장</v>
      </c>
      <c r="D91" t="str">
        <f>VLOOKUP(B91,api!$A$2:$R$334,2,FALSE)</f>
        <v>화천군</v>
      </c>
      <c r="E91" t="str">
        <f>VLOOKUP(B91,api!$A$2:$R$334,12,FALSE)</f>
        <v>강원특별자치도 화천군 하남면 거례리 473-3</v>
      </c>
      <c r="F91" t="s">
        <v>226</v>
      </c>
      <c r="G91" t="str">
        <f>VLOOKUP(A91,budget!$A$5:$I$337,4,FALSE)</f>
        <v>자연경관/자유관광지</v>
      </c>
      <c r="J91" t="str">
        <f>VLOOKUP(A91,budget!$A$5:$I$337,5,FALSE)</f>
        <v>24시간 연중무휴 (자유 방문)</v>
      </c>
      <c r="K91" t="str">
        <f>VLOOKUP(B91,api!$A$2:$R$334,14,FALSE)</f>
        <v>033-441-0797</v>
      </c>
      <c r="L91" t="str">
        <f>VLOOKUP(B91,api!$A$2:$R$334,4,FALSE)</f>
        <v>https://hspg.ihc.go.kr/main</v>
      </c>
      <c r="M91">
        <f>VLOOKUP(B91,api!$A$2:$R$334,5,FALSE)</f>
        <v>4.7</v>
      </c>
      <c r="N91">
        <f>VLOOKUP(B91,api!$A$2:$R$334,6,FALSE)</f>
        <v>9</v>
      </c>
      <c r="O91">
        <f>VLOOKUP(B91,api!$A$2:$R$334,7,FALSE)</f>
        <v>132</v>
      </c>
      <c r="P91">
        <f>VLOOKUP(A91,budget!$A$5:$I$337,6,FALSE)</f>
        <v>0</v>
      </c>
      <c r="Q91">
        <f>VLOOKUP(A91,budget!$A$5:$I$337,7,FALSE)</f>
        <v>0</v>
      </c>
      <c r="R91" t="str">
        <f>VLOOKUP(A91,budget!$A$5:$I$337,8,FALSE)</f>
        <v>상시 무료 관람 (식음료 및 개인소모품비 제외)</v>
      </c>
      <c r="S91" t="str">
        <f>VLOOKUP(A91,budget!$A$5:$I$337,9,FALSE)</f>
        <v>http://place.map.kakao.com/1986449214</v>
      </c>
      <c r="T91">
        <f>VLOOKUP(B91,api!$A$2:$R$334,17,FALSE)</f>
        <v>127.688094850984</v>
      </c>
      <c r="U91">
        <f>VLOOKUP(B91,api!$A$2:$R$334,18,FALSE)</f>
        <v>38.075987639811999</v>
      </c>
    </row>
    <row r="92" spans="1:21" x14ac:dyDescent="0.3">
      <c r="A92">
        <v>7926947</v>
      </c>
      <c r="B92" t="s">
        <v>90</v>
      </c>
      <c r="C92" t="str">
        <f>VLOOKUP(A92,budget!$A$5:$I$337,3,FALSE)</f>
        <v>국립삼봉자연휴양림</v>
      </c>
      <c r="D92" t="str">
        <f>VLOOKUP(B92,api!$A$2:$R$334,2,FALSE)</f>
        <v>홍천군</v>
      </c>
      <c r="E92" t="str">
        <f>VLOOKUP(B92,api!$A$2:$R$334,12,FALSE)</f>
        <v>강원특별자치도 홍천군 내면 광원리 산 197-1</v>
      </c>
      <c r="F92" t="s">
        <v>226</v>
      </c>
      <c r="G92" t="str">
        <f>VLOOKUP(A92,budget!$A$5:$I$337,4,FALSE)</f>
        <v>휴양림/수목원</v>
      </c>
      <c r="H92" t="s">
        <v>799</v>
      </c>
      <c r="I92" t="s">
        <v>800</v>
      </c>
      <c r="J92" t="str">
        <f>VLOOKUP(A92,budget!$A$5:$I$337,5,FALSE)</f>
        <v>09:00 - 18:00 (화요일/월요일 휴무)</v>
      </c>
      <c r="K92" t="str">
        <f>VLOOKUP(B92,api!$A$2:$R$334,14,FALSE)</f>
        <v>033-435-8536</v>
      </c>
      <c r="L92" t="str">
        <f>VLOOKUP(B92,api!$A$2:$R$334,4,FALSE)</f>
        <v>https://www.foresttrip.go.kr/indvz/main.do?hmpgId=0107</v>
      </c>
      <c r="M92">
        <f>VLOOKUP(B92,api!$A$2:$R$334,5,FALSE)</f>
        <v>4.9000000000000004</v>
      </c>
      <c r="N92">
        <f>VLOOKUP(B92,api!$A$2:$R$334,6,FALSE)</f>
        <v>14</v>
      </c>
      <c r="O92">
        <f>VLOOKUP(B92,api!$A$2:$R$334,7,FALSE)</f>
        <v>36</v>
      </c>
      <c r="P92">
        <f>VLOOKUP(A92,budget!$A$5:$I$337,6,FALSE)</f>
        <v>1000</v>
      </c>
      <c r="Q92">
        <f>VLOOKUP(A92,budget!$A$5:$I$337,7,FALSE)</f>
        <v>5000</v>
      </c>
      <c r="R92" t="str">
        <f>VLOOKUP(A92,budget!$A$5:$I$337,8,FALSE)</f>
        <v>국공립/민간 휴양림 입장료 기준 (숙박/체험비 제외)</v>
      </c>
      <c r="S92" t="str">
        <f>VLOOKUP(A92,budget!$A$5:$I$337,9,FALSE)</f>
        <v>http://place.map.kakao.com/7926947</v>
      </c>
      <c r="T92">
        <f>VLOOKUP(B92,api!$A$2:$R$334,17,FALSE)</f>
        <v>128.46383552000501</v>
      </c>
      <c r="U92">
        <f>VLOOKUP(B92,api!$A$2:$R$334,18,FALSE)</f>
        <v>37.857593219550502</v>
      </c>
    </row>
    <row r="93" spans="1:21" x14ac:dyDescent="0.3">
      <c r="A93">
        <v>26952943</v>
      </c>
      <c r="B93" t="s">
        <v>91</v>
      </c>
      <c r="C93" t="str">
        <f>VLOOKUP(A93,budget!$A$5:$I$337,3,FALSE)</f>
        <v>삼부연폭포</v>
      </c>
      <c r="D93" t="str">
        <f>VLOOKUP(B93,api!$A$2:$R$334,2,FALSE)</f>
        <v>철원군</v>
      </c>
      <c r="E93" t="str">
        <f>VLOOKUP(B93,api!$A$2:$R$334,12,FALSE)</f>
        <v>강원특별자치도 철원군 갈말읍 신철원리 산 26-1</v>
      </c>
      <c r="F93" t="s">
        <v>226</v>
      </c>
      <c r="G93" t="str">
        <f>VLOOKUP(A93,budget!$A$5:$I$337,4,FALSE)</f>
        <v>자연경관/자유관광지</v>
      </c>
      <c r="J93" t="str">
        <f>VLOOKUP(A93,budget!$A$5:$I$337,5,FALSE)</f>
        <v>24시간 연중무휴 (자유 방문)</v>
      </c>
      <c r="K93" t="str">
        <f>VLOOKUP(B93,api!$A$2:$R$334,14,FALSE)</f>
        <v>033-450-5365</v>
      </c>
      <c r="L93">
        <f>VLOOKUP(B93,api!$A$2:$R$334,4,FALSE)</f>
        <v>0</v>
      </c>
      <c r="M93">
        <f>VLOOKUP(B93,api!$A$2:$R$334,5,FALSE)</f>
        <v>4.5</v>
      </c>
      <c r="N93">
        <f>VLOOKUP(B93,api!$A$2:$R$334,6,FALSE)</f>
        <v>62</v>
      </c>
      <c r="O93">
        <f>VLOOKUP(B93,api!$A$2:$R$334,7,FALSE)</f>
        <v>115</v>
      </c>
      <c r="P93">
        <f>VLOOKUP(A93,budget!$A$5:$I$337,6,FALSE)</f>
        <v>0</v>
      </c>
      <c r="Q93">
        <f>VLOOKUP(A93,budget!$A$5:$I$337,7,FALSE)</f>
        <v>0</v>
      </c>
      <c r="R93" t="str">
        <f>VLOOKUP(A93,budget!$A$5:$I$337,8,FALSE)</f>
        <v>상시 무료 관람 (식음료 및 개인소모품비 제외)</v>
      </c>
      <c r="S93" t="str">
        <f>VLOOKUP(A93,budget!$A$5:$I$337,9,FALSE)</f>
        <v>http://place.map.kakao.com/26952943</v>
      </c>
      <c r="T93">
        <f>VLOOKUP(B93,api!$A$2:$R$334,17,FALSE)</f>
        <v>127.327128847534</v>
      </c>
      <c r="U93">
        <f>VLOOKUP(B93,api!$A$2:$R$334,18,FALSE)</f>
        <v>38.140153578267302</v>
      </c>
    </row>
    <row r="94" spans="1:21" x14ac:dyDescent="0.3">
      <c r="A94">
        <v>8305401</v>
      </c>
      <c r="B94" t="s">
        <v>92</v>
      </c>
      <c r="C94" t="str">
        <f>VLOOKUP(A94,budget!$A$5:$I$337,3,FALSE)</f>
        <v>삼양라운드힐</v>
      </c>
      <c r="D94" t="str">
        <f>VLOOKUP(B94,api!$A$2:$R$334,2,FALSE)</f>
        <v>평창군</v>
      </c>
      <c r="E94" t="str">
        <f>VLOOKUP(B94,api!$A$2:$R$334,12,FALSE)</f>
        <v>강원특별자치도 평창군 대관령면 횡계리 704-6</v>
      </c>
      <c r="F94" t="s">
        <v>226</v>
      </c>
      <c r="G94" t="str">
        <f>VLOOKUP(A94,budget!$A$5:$I$337,4,FALSE)</f>
        <v>테마파크/민간관광지</v>
      </c>
      <c r="J94" t="str">
        <f>VLOOKUP(A94,budget!$A$5:$I$337,5,FALSE)</f>
        <v>10:00 - 18:00 (연중무휴/입장마감 17:00)</v>
      </c>
      <c r="K94" t="str">
        <f>VLOOKUP(B94,api!$A$2:$R$334,14,FALSE)</f>
        <v>033-335-5044</v>
      </c>
      <c r="L94">
        <f>VLOOKUP(B94,api!$A$2:$R$334,4,FALSE)</f>
        <v>0</v>
      </c>
      <c r="M94">
        <f>VLOOKUP(B94,api!$A$2:$R$334,5,FALSE)</f>
        <v>3.8</v>
      </c>
      <c r="N94">
        <f>VLOOKUP(B94,api!$A$2:$R$334,6,FALSE)</f>
        <v>177</v>
      </c>
      <c r="O94">
        <f>VLOOKUP(B94,api!$A$2:$R$334,7,FALSE)</f>
        <v>811</v>
      </c>
      <c r="P94">
        <f>VLOOKUP(A94,budget!$A$5:$I$337,6,FALSE)</f>
        <v>8000</v>
      </c>
      <c r="Q94">
        <f>VLOOKUP(A94,budget!$A$5:$I$337,7,FALSE)</f>
        <v>20000</v>
      </c>
      <c r="R94" t="str">
        <f>VLOOKUP(A94,budget!$A$5:$I$337,8,FALSE)</f>
        <v>대인 정상 입장료 기준 (할인혜택/통합권 따라 변동)</v>
      </c>
      <c r="S94" t="str">
        <f>VLOOKUP(A94,budget!$A$5:$I$337,9,FALSE)</f>
        <v>http://place.map.kakao.com/8305401</v>
      </c>
      <c r="T94">
        <f>VLOOKUP(B94,api!$A$2:$R$334,17,FALSE)</f>
        <v>128.719733895659</v>
      </c>
      <c r="U94">
        <f>VLOOKUP(B94,api!$A$2:$R$334,18,FALSE)</f>
        <v>37.724286808537698</v>
      </c>
    </row>
    <row r="95" spans="1:21" x14ac:dyDescent="0.3">
      <c r="A95">
        <v>20495123</v>
      </c>
      <c r="B95" t="s">
        <v>93</v>
      </c>
      <c r="C95" t="str">
        <f>VLOOKUP(A95,budget!$A$5:$I$337,3,FALSE)</f>
        <v>삼척장미공원</v>
      </c>
      <c r="D95" t="str">
        <f>VLOOKUP(B95,api!$A$2:$R$334,2,FALSE)</f>
        <v>삼척시</v>
      </c>
      <c r="E95" t="str">
        <f>VLOOKUP(B95,api!$A$2:$R$334,12,FALSE)</f>
        <v>강원특별자치도 삼척시 정상동 440</v>
      </c>
      <c r="F95" t="s">
        <v>226</v>
      </c>
      <c r="G95" t="str">
        <f>VLOOKUP(A95,budget!$A$5:$I$337,4,FALSE)</f>
        <v>자연경관/자유관광지</v>
      </c>
      <c r="J95" t="str">
        <f>VLOOKUP(A95,budget!$A$5:$I$337,5,FALSE)</f>
        <v>24시간 연중무휴 (자유 방문)</v>
      </c>
      <c r="K95">
        <f>VLOOKUP(B95,api!$A$2:$R$334,14,FALSE)</f>
        <v>0</v>
      </c>
      <c r="L95" t="str">
        <f>VLOOKUP(B95,api!$A$2:$R$334,4,FALSE)</f>
        <v>https://www.samcheok.go.kr/tour.web</v>
      </c>
      <c r="M95">
        <f>VLOOKUP(B95,api!$A$2:$R$334,5,FALSE)</f>
        <v>4.3</v>
      </c>
      <c r="N95">
        <f>VLOOKUP(B95,api!$A$2:$R$334,6,FALSE)</f>
        <v>25</v>
      </c>
      <c r="O95">
        <f>VLOOKUP(B95,api!$A$2:$R$334,7,FALSE)</f>
        <v>151</v>
      </c>
      <c r="P95">
        <f>VLOOKUP(A95,budget!$A$5:$I$337,6,FALSE)</f>
        <v>0</v>
      </c>
      <c r="Q95">
        <f>VLOOKUP(A95,budget!$A$5:$I$337,7,FALSE)</f>
        <v>0</v>
      </c>
      <c r="R95" t="str">
        <f>VLOOKUP(A95,budget!$A$5:$I$337,8,FALSE)</f>
        <v>상시 무료 관람 (식음료 및 개인소모품비 제외)</v>
      </c>
      <c r="S95" t="str">
        <f>VLOOKUP(A95,budget!$A$5:$I$337,9,FALSE)</f>
        <v>http://place.map.kakao.com/20495123</v>
      </c>
      <c r="T95">
        <f>VLOOKUP(B95,api!$A$2:$R$334,17,FALSE)</f>
        <v>129.17740709769899</v>
      </c>
      <c r="U95">
        <f>VLOOKUP(B95,api!$A$2:$R$334,18,FALSE)</f>
        <v>37.433279854660903</v>
      </c>
    </row>
    <row r="96" spans="1:21" x14ac:dyDescent="0.3">
      <c r="A96">
        <v>8388351</v>
      </c>
      <c r="B96" t="s">
        <v>94</v>
      </c>
      <c r="C96" t="str">
        <f>VLOOKUP(A96,budget!$A$5:$I$337,3,FALSE)</f>
        <v>삼척항</v>
      </c>
      <c r="D96" t="str">
        <f>VLOOKUP(B96,api!$A$2:$R$334,2,FALSE)</f>
        <v>삼척시</v>
      </c>
      <c r="E96" t="str">
        <f>VLOOKUP(B96,api!$A$2:$R$334,12,FALSE)</f>
        <v>강원특별자치도 삼척시 정상동</v>
      </c>
      <c r="F96" t="s">
        <v>226</v>
      </c>
      <c r="G96" t="str">
        <f>VLOOKUP(A96,budget!$A$5:$I$337,4,FALSE)</f>
        <v>자연경관/자유관광지</v>
      </c>
      <c r="J96" t="str">
        <f>VLOOKUP(A96,budget!$A$5:$I$337,5,FALSE)</f>
        <v>24시간 연중무휴 (자유 방문)</v>
      </c>
      <c r="K96">
        <f>VLOOKUP(B96,api!$A$2:$R$334,14,FALSE)</f>
        <v>0</v>
      </c>
      <c r="L96" t="str">
        <f>VLOOKUP(B96,api!$A$2:$R$334,4,FALSE)</f>
        <v>https://www.samcheok.go.kr/tour.web</v>
      </c>
      <c r="M96">
        <f>VLOOKUP(B96,api!$A$2:$R$334,5,FALSE)</f>
        <v>5</v>
      </c>
      <c r="N96">
        <f>VLOOKUP(B96,api!$A$2:$R$334,6,FALSE)</f>
        <v>1</v>
      </c>
      <c r="O96">
        <f>VLOOKUP(B96,api!$A$2:$R$334,7,FALSE)</f>
        <v>18</v>
      </c>
      <c r="P96">
        <f>VLOOKUP(A96,budget!$A$5:$I$337,6,FALSE)</f>
        <v>0</v>
      </c>
      <c r="Q96">
        <f>VLOOKUP(A96,budget!$A$5:$I$337,7,FALSE)</f>
        <v>0</v>
      </c>
      <c r="R96" t="str">
        <f>VLOOKUP(A96,budget!$A$5:$I$337,8,FALSE)</f>
        <v>상시 무료 관람 (식음료 및 개인소모품비 제외)</v>
      </c>
      <c r="S96" t="str">
        <f>VLOOKUP(A96,budget!$A$5:$I$337,9,FALSE)</f>
        <v>http://place.map.kakao.com/8388351</v>
      </c>
      <c r="T96">
        <f>VLOOKUP(B96,api!$A$2:$R$334,17,FALSE)</f>
        <v>129.19068680311699</v>
      </c>
      <c r="U96">
        <f>VLOOKUP(B96,api!$A$2:$R$334,18,FALSE)</f>
        <v>37.4355783508</v>
      </c>
    </row>
    <row r="97" spans="1:21" x14ac:dyDescent="0.3">
      <c r="A97">
        <v>7935331</v>
      </c>
      <c r="B97" t="s">
        <v>95</v>
      </c>
      <c r="C97" t="str">
        <f>VLOOKUP(A97,budget!$A$5:$I$337,3,FALSE)</f>
        <v>삼척해변</v>
      </c>
      <c r="D97" t="str">
        <f>VLOOKUP(B97,api!$A$2:$R$334,2,FALSE)</f>
        <v>삼척시</v>
      </c>
      <c r="E97" t="str">
        <f>VLOOKUP(B97,api!$A$2:$R$334,12,FALSE)</f>
        <v>강원특별자치도 삼척시 갈천동 14-22</v>
      </c>
      <c r="F97" t="s">
        <v>226</v>
      </c>
      <c r="G97" t="str">
        <f>VLOOKUP(A97,budget!$A$5:$I$337,4,FALSE)</f>
        <v>자연경관/자유관광지</v>
      </c>
      <c r="H97" t="s">
        <v>799</v>
      </c>
      <c r="I97" t="s">
        <v>800</v>
      </c>
      <c r="J97" t="str">
        <f>VLOOKUP(A97,budget!$A$5:$I$337,5,FALSE)</f>
        <v>24시간 연중무휴 (자유 방문)</v>
      </c>
      <c r="K97" t="str">
        <f>VLOOKUP(B97,api!$A$2:$R$334,14,FALSE)</f>
        <v>033-570-4401</v>
      </c>
      <c r="L97" t="str">
        <f>VLOOKUP(B97,api!$A$2:$R$334,4,FALSE)</f>
        <v>https://www.samcheok.go.kr/tour.web</v>
      </c>
      <c r="M97">
        <f>VLOOKUP(B97,api!$A$2:$R$334,5,FALSE)</f>
        <v>4.5999999999999996</v>
      </c>
      <c r="N97">
        <f>VLOOKUP(B97,api!$A$2:$R$334,6,FALSE)</f>
        <v>83</v>
      </c>
      <c r="O97">
        <f>VLOOKUP(B97,api!$A$2:$R$334,7,FALSE)</f>
        <v>18</v>
      </c>
      <c r="P97">
        <f>VLOOKUP(A97,budget!$A$5:$I$337,6,FALSE)</f>
        <v>0</v>
      </c>
      <c r="Q97">
        <f>VLOOKUP(A97,budget!$A$5:$I$337,7,FALSE)</f>
        <v>0</v>
      </c>
      <c r="R97" t="str">
        <f>VLOOKUP(A97,budget!$A$5:$I$337,8,FALSE)</f>
        <v>상시 무료 관람 (식음료 및 개인소모품비 제외)</v>
      </c>
      <c r="S97" t="str">
        <f>VLOOKUP(A97,budget!$A$5:$I$337,9,FALSE)</f>
        <v>http://place.map.kakao.com/7935331</v>
      </c>
      <c r="T97">
        <f>VLOOKUP(B97,api!$A$2:$R$334,17,FALSE)</f>
        <v>129.16984059238899</v>
      </c>
      <c r="U97">
        <f>VLOOKUP(B97,api!$A$2:$R$334,18,FALSE)</f>
        <v>37.467924980360202</v>
      </c>
    </row>
    <row r="98" spans="1:21" x14ac:dyDescent="0.3">
      <c r="A98">
        <v>1832162456</v>
      </c>
      <c r="B98" t="s">
        <v>96</v>
      </c>
      <c r="C98" t="str">
        <f>VLOOKUP(A98,budget!$A$5:$I$337,3,FALSE)</f>
        <v>삼척해상케이블카 용화역</v>
      </c>
      <c r="D98" t="str">
        <f>VLOOKUP(B98,api!$A$2:$R$334,2,FALSE)</f>
        <v>삼척시</v>
      </c>
      <c r="E98" t="str">
        <f>VLOOKUP(B98,api!$A$2:$R$334,12,FALSE)</f>
        <v>강원특별자치도 삼척시 근덕면 용화리 6</v>
      </c>
      <c r="F98" t="s">
        <v>226</v>
      </c>
      <c r="G98" t="str">
        <f>VLOOKUP(A98,budget!$A$5:$I$337,4,FALSE)</f>
        <v>체험/액티비티</v>
      </c>
      <c r="J98" t="str">
        <f>VLOOKUP(A98,budget!$A$5:$I$337,5,FALSE)</f>
        <v>09:00 - 18:00 (매표마감 17:00)</v>
      </c>
      <c r="K98" t="str">
        <f>VLOOKUP(B98,api!$A$2:$R$334,14,FALSE)</f>
        <v>1668-4268</v>
      </c>
      <c r="L98" t="str">
        <f>VLOOKUP(B98,api!$A$2:$R$334,4,FALSE)</f>
        <v>https://samcheokcablecar.kr/</v>
      </c>
      <c r="M98">
        <f>VLOOKUP(B98,api!$A$2:$R$334,5,FALSE)</f>
        <v>3.2</v>
      </c>
      <c r="N98">
        <f>VLOOKUP(B98,api!$A$2:$R$334,6,FALSE)</f>
        <v>75</v>
      </c>
      <c r="O98">
        <f>VLOOKUP(B98,api!$A$2:$R$334,7,FALSE)</f>
        <v>110</v>
      </c>
      <c r="P98">
        <f>VLOOKUP(A98,budget!$A$5:$I$337,6,FALSE)</f>
        <v>10000</v>
      </c>
      <c r="Q98">
        <f>VLOOKUP(A98,budget!$A$5:$I$337,7,FALSE)</f>
        <v>35000</v>
      </c>
      <c r="R98" t="str">
        <f>VLOOKUP(A98,budget!$A$5:$I$337,8,FALSE)</f>
        <v>1인 승선/체험권 기준 (코스 및 이용 상품에 따라 변동)</v>
      </c>
      <c r="S98" t="str">
        <f>VLOOKUP(A98,budget!$A$5:$I$337,9,FALSE)</f>
        <v>http://place.map.kakao.com/1832162456</v>
      </c>
      <c r="T98">
        <f>VLOOKUP(B98,api!$A$2:$R$334,17,FALSE)</f>
        <v>129.308255409097</v>
      </c>
      <c r="U98">
        <f>VLOOKUP(B98,api!$A$2:$R$334,18,FALSE)</f>
        <v>37.289116469508599</v>
      </c>
    </row>
    <row r="99" spans="1:21" x14ac:dyDescent="0.3">
      <c r="A99">
        <v>153613586</v>
      </c>
      <c r="B99" t="s">
        <v>97</v>
      </c>
      <c r="C99" t="str">
        <f>VLOOKUP(A99,budget!$A$5:$I$337,3,FALSE)</f>
        <v>삼척해상케이블카 장호역</v>
      </c>
      <c r="D99" t="str">
        <f>VLOOKUP(B99,api!$A$2:$R$334,2,FALSE)</f>
        <v>삼척시</v>
      </c>
      <c r="E99" t="str">
        <f>VLOOKUP(B99,api!$A$2:$R$334,12,FALSE)</f>
        <v>강원특별자치도 삼척시 근덕면 장호리 3-9</v>
      </c>
      <c r="F99" t="s">
        <v>226</v>
      </c>
      <c r="G99" t="str">
        <f>VLOOKUP(A99,budget!$A$5:$I$337,4,FALSE)</f>
        <v>체험/액티비티</v>
      </c>
      <c r="J99" t="str">
        <f>VLOOKUP(A99,budget!$A$5:$I$337,5,FALSE)</f>
        <v>09:00 - 18:00 (매표마감 17:00)</v>
      </c>
      <c r="K99" t="str">
        <f>VLOOKUP(B99,api!$A$2:$R$334,14,FALSE)</f>
        <v>1668-4268</v>
      </c>
      <c r="L99">
        <f>VLOOKUP(B99,api!$A$2:$R$334,4,FALSE)</f>
        <v>0</v>
      </c>
      <c r="M99">
        <f>VLOOKUP(B99,api!$A$2:$R$334,5,FALSE)</f>
        <v>2.9</v>
      </c>
      <c r="N99">
        <f>VLOOKUP(B99,api!$A$2:$R$334,6,FALSE)</f>
        <v>69</v>
      </c>
      <c r="O99">
        <f>VLOOKUP(B99,api!$A$2:$R$334,7,FALSE)</f>
        <v>126</v>
      </c>
      <c r="P99">
        <f>VLOOKUP(A99,budget!$A$5:$I$337,6,FALSE)</f>
        <v>10000</v>
      </c>
      <c r="Q99">
        <f>VLOOKUP(A99,budget!$A$5:$I$337,7,FALSE)</f>
        <v>35000</v>
      </c>
      <c r="R99" t="str">
        <f>VLOOKUP(A99,budget!$A$5:$I$337,8,FALSE)</f>
        <v>1인 승선/체험권 기준 (코스 및 이용 상품에 따라 변동)</v>
      </c>
      <c r="S99" t="str">
        <f>VLOOKUP(A99,budget!$A$5:$I$337,9,FALSE)</f>
        <v>http://place.map.kakao.com/153613586</v>
      </c>
      <c r="T99">
        <f>VLOOKUP(B99,api!$A$2:$R$334,17,FALSE)</f>
        <v>129.31877193604899</v>
      </c>
      <c r="U99">
        <f>VLOOKUP(B99,api!$A$2:$R$334,18,FALSE)</f>
        <v>37.287919883671002</v>
      </c>
    </row>
    <row r="100" spans="1:21" x14ac:dyDescent="0.3">
      <c r="A100">
        <v>19881841</v>
      </c>
      <c r="B100" t="s">
        <v>98</v>
      </c>
      <c r="C100" t="str">
        <f>VLOOKUP(A100,budget!$A$5:$I$337,3,FALSE)</f>
        <v>삼탄아트마인</v>
      </c>
      <c r="D100" t="str">
        <f>VLOOKUP(B100,api!$A$2:$R$334,2,FALSE)</f>
        <v>정선군</v>
      </c>
      <c r="E100" t="str">
        <f>VLOOKUP(B100,api!$A$2:$R$334,12,FALSE)</f>
        <v>강원특별자치도 정선군 고한읍 고한리 5-26</v>
      </c>
      <c r="F100" t="s">
        <v>225</v>
      </c>
      <c r="G100" t="str">
        <f>VLOOKUP(A100,budget!$A$5:$I$337,4,FALSE)</f>
        <v>자연경관/자유관광지</v>
      </c>
      <c r="J100" t="str">
        <f>VLOOKUP(A100,budget!$A$5:$I$337,5,FALSE)</f>
        <v>상시 개방</v>
      </c>
      <c r="K100" t="str">
        <f>VLOOKUP(B100,api!$A$2:$R$334,14,FALSE)</f>
        <v>033-591-3001</v>
      </c>
      <c r="L100" t="str">
        <f>VLOOKUP(B100,api!$A$2:$R$334,4,FALSE)</f>
        <v>http://samtanartmine.com/</v>
      </c>
      <c r="M100">
        <f>VLOOKUP(B100,api!$A$2:$R$334,5,FALSE)</f>
        <v>3.1</v>
      </c>
      <c r="N100">
        <f>VLOOKUP(B100,api!$A$2:$R$334,6,FALSE)</f>
        <v>24</v>
      </c>
      <c r="O100">
        <f>VLOOKUP(B100,api!$A$2:$R$334,7,FALSE)</f>
        <v>110</v>
      </c>
      <c r="P100">
        <f>VLOOKUP(A100,budget!$A$5:$I$337,6,FALSE)</f>
        <v>0</v>
      </c>
      <c r="Q100">
        <f>VLOOKUP(A100,budget!$A$5:$I$337,7,FALSE)</f>
        <v>0</v>
      </c>
      <c r="R100" t="str">
        <f>VLOOKUP(A100,budget!$A$5:$I$337,8,FALSE)</f>
        <v>상시 무료 관람 (식음료 및 개인소모품비 제외)</v>
      </c>
      <c r="S100" t="str">
        <f>VLOOKUP(A100,budget!$A$5:$I$337,9,FALSE)</f>
        <v>http://place.map.kakao.com/19881841</v>
      </c>
      <c r="T100">
        <f>VLOOKUP(B100,api!$A$2:$R$334,17,FALSE)</f>
        <v>128.88286279787101</v>
      </c>
      <c r="U100">
        <f>VLOOKUP(B100,api!$A$2:$R$334,18,FALSE)</f>
        <v>37.185017200696898</v>
      </c>
    </row>
    <row r="101" spans="1:21" x14ac:dyDescent="0.3">
      <c r="A101">
        <v>26911134</v>
      </c>
      <c r="B101" t="s">
        <v>99</v>
      </c>
      <c r="C101" t="str">
        <f>VLOOKUP(A101,budget!$A$5:$I$337,3,FALSE)</f>
        <v>서피비치</v>
      </c>
      <c r="D101" t="str">
        <f>VLOOKUP(B101,api!$A$2:$R$334,2,FALSE)</f>
        <v>양양군</v>
      </c>
      <c r="E101" t="str">
        <f>VLOOKUP(B101,api!$A$2:$R$334,12,FALSE)</f>
        <v>강원특별자치도 양양군 현북면 중광정리 508</v>
      </c>
      <c r="F101" t="s">
        <v>226</v>
      </c>
      <c r="G101" t="str">
        <f>VLOOKUP(A101,budget!$A$5:$I$337,4,FALSE)</f>
        <v>자연경관/자유관광지</v>
      </c>
      <c r="H101" t="s">
        <v>1192</v>
      </c>
      <c r="I101" t="s">
        <v>1193</v>
      </c>
      <c r="J101" t="str">
        <f>VLOOKUP(A101,budget!$A$5:$I$337,5,FALSE)</f>
        <v>상시 개방</v>
      </c>
      <c r="K101" t="str">
        <f>VLOOKUP(B101,api!$A$2:$R$334,14,FALSE)</f>
        <v>1522-2729</v>
      </c>
      <c r="L101" t="str">
        <f>VLOOKUP(B101,api!$A$2:$R$334,4,FALSE)</f>
        <v>https://www.surfyy.com/</v>
      </c>
      <c r="M101">
        <f>VLOOKUP(B101,api!$A$2:$R$334,5,FALSE)</f>
        <v>0</v>
      </c>
      <c r="N101">
        <f>VLOOKUP(B101,api!$A$2:$R$334,6,FALSE)</f>
        <v>30</v>
      </c>
      <c r="O101">
        <f>VLOOKUP(B101,api!$A$2:$R$334,7,FALSE)</f>
        <v>281</v>
      </c>
      <c r="P101">
        <f>VLOOKUP(A101,budget!$A$5:$I$337,6,FALSE)</f>
        <v>0</v>
      </c>
      <c r="Q101">
        <f>VLOOKUP(A101,budget!$A$5:$I$337,7,FALSE)</f>
        <v>0</v>
      </c>
      <c r="R101" t="str">
        <f>VLOOKUP(A101,budget!$A$5:$I$337,8,FALSE)</f>
        <v>상시 무료 관람 (식음료 및 개인소모품비 제외)</v>
      </c>
      <c r="S101" t="str">
        <f>VLOOKUP(A101,budget!$A$5:$I$337,9,FALSE)</f>
        <v>http://place.map.kakao.com/26911134</v>
      </c>
      <c r="T101">
        <f>VLOOKUP(B101,api!$A$2:$R$334,17,FALSE)</f>
        <v>128.71728231189601</v>
      </c>
      <c r="U101">
        <f>VLOOKUP(B101,api!$A$2:$R$334,18,FALSE)</f>
        <v>38.027834441415699</v>
      </c>
    </row>
    <row r="102" spans="1:21" x14ac:dyDescent="0.3">
      <c r="A102">
        <v>7951458</v>
      </c>
      <c r="B102" t="s">
        <v>100</v>
      </c>
      <c r="C102" t="str">
        <f>VLOOKUP(A102,budget!$A$5:$I$337,3,FALSE)</f>
        <v>석봉도자기미술관</v>
      </c>
      <c r="D102" t="str">
        <f>VLOOKUP(B102,api!$A$2:$R$334,2,FALSE)</f>
        <v>속초시</v>
      </c>
      <c r="E102" t="str">
        <f>VLOOKUP(B102,api!$A$2:$R$334,12,FALSE)</f>
        <v>강원특별자치도 속초시 교동 668-57</v>
      </c>
      <c r="F102" t="s">
        <v>225</v>
      </c>
      <c r="G102" t="str">
        <f>VLOOKUP(A102,budget!$A$5:$I$337,4,FALSE)</f>
        <v>문화/전람/동굴/전망시설</v>
      </c>
      <c r="H102" t="s">
        <v>792</v>
      </c>
      <c r="I102" t="s">
        <v>793</v>
      </c>
      <c r="J102" t="str">
        <f>VLOOKUP(A102,budget!$A$5:$I$337,5,FALSE)</f>
        <v>09:00 - 18:00 (입장마감 17:00, 월요일 휴무)</v>
      </c>
      <c r="K102" t="str">
        <f>VLOOKUP(B102,api!$A$2:$R$334,14,FALSE)</f>
        <v>033-638-7712</v>
      </c>
      <c r="L102" t="str">
        <f>VLOOKUP(B102,api!$A$2:$R$334,4,FALSE)</f>
        <v>http://www.dogong.net/</v>
      </c>
      <c r="M102">
        <f>VLOOKUP(B102,api!$A$2:$R$334,5,FALSE)</f>
        <v>4.2</v>
      </c>
      <c r="N102">
        <f>VLOOKUP(B102,api!$A$2:$R$334,6,FALSE)</f>
        <v>25</v>
      </c>
      <c r="O102">
        <f>VLOOKUP(B102,api!$A$2:$R$334,7,FALSE)</f>
        <v>87</v>
      </c>
      <c r="P102">
        <f>VLOOKUP(A102,budget!$A$5:$I$337,6,FALSE)</f>
        <v>2000</v>
      </c>
      <c r="Q102">
        <f>VLOOKUP(A102,budget!$A$5:$I$337,7,FALSE)</f>
        <v>10000</v>
      </c>
      <c r="R102" t="str">
        <f>VLOOKUP(A102,budget!$A$5:$I$337,8,FALSE)</f>
        <v>대인 관람료 및 전망대/스카이워크 이용료 기준</v>
      </c>
      <c r="S102" t="str">
        <f>VLOOKUP(A102,budget!$A$5:$I$337,9,FALSE)</f>
        <v>http://place.map.kakao.com/7951458</v>
      </c>
      <c r="T102">
        <f>VLOOKUP(B102,api!$A$2:$R$334,17,FALSE)</f>
        <v>128.58265680711401</v>
      </c>
      <c r="U102">
        <f>VLOOKUP(B102,api!$A$2:$R$334,18,FALSE)</f>
        <v>38.197921610060199</v>
      </c>
    </row>
    <row r="103" spans="1:21" x14ac:dyDescent="0.3">
      <c r="A103">
        <v>27002081</v>
      </c>
      <c r="B103" t="s">
        <v>101</v>
      </c>
      <c r="C103" t="str">
        <f>VLOOKUP(A103,budget!$A$5:$I$337,3,FALSE)</f>
        <v>선돌</v>
      </c>
      <c r="D103" t="str">
        <f>VLOOKUP(B103,api!$A$2:$R$334,2,FALSE)</f>
        <v>영월군</v>
      </c>
      <c r="E103" t="str">
        <f>VLOOKUP(B103,api!$A$2:$R$334,12,FALSE)</f>
        <v>강원특별자치도 영월군 영월읍 방절리 769-4</v>
      </c>
      <c r="F103" t="s">
        <v>226</v>
      </c>
      <c r="G103" t="str">
        <f>VLOOKUP(A103,budget!$A$5:$I$337,4,FALSE)</f>
        <v>자연경관/자유관광지</v>
      </c>
      <c r="J103" t="str">
        <f>VLOOKUP(A103,budget!$A$5:$I$337,5,FALSE)</f>
        <v>상시 개방</v>
      </c>
      <c r="K103">
        <f>VLOOKUP(B103,api!$A$2:$R$334,14,FALSE)</f>
        <v>0</v>
      </c>
      <c r="L103" t="str">
        <f>VLOOKUP(B103,api!$A$2:$R$334,4,FALSE)</f>
        <v>https://www.yw.go.kr/tour/index.do</v>
      </c>
      <c r="M103">
        <f>VLOOKUP(B103,api!$A$2:$R$334,5,FALSE)</f>
        <v>4.4000000000000004</v>
      </c>
      <c r="N103">
        <f>VLOOKUP(B103,api!$A$2:$R$334,6,FALSE)</f>
        <v>70</v>
      </c>
      <c r="O103">
        <f>VLOOKUP(B103,api!$A$2:$R$334,7,FALSE)</f>
        <v>194</v>
      </c>
      <c r="P103">
        <f>VLOOKUP(A103,budget!$A$5:$I$337,6,FALSE)</f>
        <v>0</v>
      </c>
      <c r="Q103">
        <f>VLOOKUP(A103,budget!$A$5:$I$337,7,FALSE)</f>
        <v>0</v>
      </c>
      <c r="R103" t="str">
        <f>VLOOKUP(A103,budget!$A$5:$I$337,8,FALSE)</f>
        <v>상시 무료 관람 (식음료 및 개인소모품비 제외)</v>
      </c>
      <c r="S103" t="str">
        <f>VLOOKUP(A103,budget!$A$5:$I$337,9,FALSE)</f>
        <v>http://place.map.kakao.com/27002081</v>
      </c>
      <c r="T103">
        <f>VLOOKUP(B103,api!$A$2:$R$334,17,FALSE)</f>
        <v>128.43306129029301</v>
      </c>
      <c r="U103">
        <f>VLOOKUP(B103,api!$A$2:$R$334,18,FALSE)</f>
        <v>37.205664023521798</v>
      </c>
    </row>
    <row r="104" spans="1:21" x14ac:dyDescent="0.3">
      <c r="A104">
        <v>21764909</v>
      </c>
      <c r="B104" t="s">
        <v>102</v>
      </c>
      <c r="C104" t="str">
        <f>VLOOKUP(A104,budget!$A$5:$I$337,3,FALSE)</f>
        <v>설악산</v>
      </c>
      <c r="D104" t="str">
        <f>VLOOKUP(B104,api!$A$2:$R$334,2,FALSE)</f>
        <v>속초시</v>
      </c>
      <c r="E104" t="str">
        <f>VLOOKUP(B104,api!$A$2:$R$334,12,FALSE)</f>
        <v>강원특별자치도 양양군 서면 오색리</v>
      </c>
      <c r="F104" t="s">
        <v>226</v>
      </c>
      <c r="G104" t="str">
        <f>VLOOKUP(A104,budget!$A$5:$I$337,4,FALSE)</f>
        <v>자연경관/자유관광지</v>
      </c>
      <c r="H104" t="s">
        <v>799</v>
      </c>
      <c r="I104" t="s">
        <v>800</v>
      </c>
      <c r="J104" t="str">
        <f>VLOOKUP(A104,budget!$A$5:$I$337,5,FALSE)</f>
        <v>24시간 연중무휴 (자유 방문)</v>
      </c>
      <c r="K104" t="str">
        <f>VLOOKUP(B104,api!$A$2:$R$334,14,FALSE)</f>
        <v>033-801-0900</v>
      </c>
      <c r="L104">
        <f>VLOOKUP(B104,api!$A$2:$R$334,4,FALSE)</f>
        <v>0</v>
      </c>
      <c r="M104">
        <f>VLOOKUP(B104,api!$A$2:$R$334,5,FALSE)</f>
        <v>4.8</v>
      </c>
      <c r="N104">
        <f>VLOOKUP(B104,api!$A$2:$R$334,6,FALSE)</f>
        <v>129</v>
      </c>
      <c r="O104">
        <f>VLOOKUP(B104,api!$A$2:$R$334,7,FALSE)</f>
        <v>103</v>
      </c>
      <c r="P104">
        <f>VLOOKUP(A104,budget!$A$5:$I$337,6,FALSE)</f>
        <v>0</v>
      </c>
      <c r="Q104">
        <f>VLOOKUP(A104,budget!$A$5:$I$337,7,FALSE)</f>
        <v>0</v>
      </c>
      <c r="R104" t="str">
        <f>VLOOKUP(A104,budget!$A$5:$I$337,8,FALSE)</f>
        <v>상시 무료 관람 (식음료 및 개인소모품비 제외)</v>
      </c>
      <c r="S104" t="str">
        <f>VLOOKUP(A104,budget!$A$5:$I$337,9,FALSE)</f>
        <v>http://place.map.kakao.com/21764909</v>
      </c>
      <c r="T104">
        <f>VLOOKUP(B104,api!$A$2:$R$334,17,FALSE)</f>
        <v>128.465361531463</v>
      </c>
      <c r="U104">
        <f>VLOOKUP(B104,api!$A$2:$R$334,18,FALSE)</f>
        <v>38.119125179317301</v>
      </c>
    </row>
    <row r="105" spans="1:21" x14ac:dyDescent="0.3">
      <c r="A105">
        <v>24414762</v>
      </c>
      <c r="B105" t="s">
        <v>103</v>
      </c>
      <c r="C105" t="str">
        <f>VLOOKUP(A105,budget!$A$5:$I$337,3,FALSE)</f>
        <v>설악산자생식물원</v>
      </c>
      <c r="D105" t="str">
        <f>VLOOKUP(B105,api!$A$2:$R$334,2,FALSE)</f>
        <v>속초시</v>
      </c>
      <c r="E105" t="str">
        <f>VLOOKUP(B105,api!$A$2:$R$334,12,FALSE)</f>
        <v>강원특별자치도 속초시 노학동 1000-396</v>
      </c>
      <c r="F105" t="s">
        <v>226</v>
      </c>
      <c r="G105" t="str">
        <f>VLOOKUP(A105,budget!$A$5:$I$337,4,FALSE)</f>
        <v>자연경관/자유관광지</v>
      </c>
      <c r="H105" t="s">
        <v>799</v>
      </c>
      <c r="I105" t="s">
        <v>800</v>
      </c>
      <c r="J105" t="str">
        <f>VLOOKUP(A105,budget!$A$5:$I$337,5,FALSE)</f>
        <v>24시간 연중무휴 (자유 방문)</v>
      </c>
      <c r="K105">
        <f>VLOOKUP(B105,api!$A$2:$R$334,14,FALSE)</f>
        <v>0</v>
      </c>
      <c r="L105" t="str">
        <f>VLOOKUP(B105,api!$A$2:$R$334,4,FALSE)</f>
        <v>https://www.knps.or.kr/</v>
      </c>
      <c r="M105">
        <f>VLOOKUP(B105,api!$A$2:$R$334,5,FALSE)</f>
        <v>4.5999999999999996</v>
      </c>
      <c r="N105">
        <f>VLOOKUP(B105,api!$A$2:$R$334,6,FALSE)</f>
        <v>49</v>
      </c>
      <c r="O105">
        <f>VLOOKUP(B105,api!$A$2:$R$334,7,FALSE)</f>
        <v>167</v>
      </c>
      <c r="P105">
        <f>VLOOKUP(A105,budget!$A$5:$I$337,6,FALSE)</f>
        <v>0</v>
      </c>
      <c r="Q105">
        <f>VLOOKUP(A105,budget!$A$5:$I$337,7,FALSE)</f>
        <v>0</v>
      </c>
      <c r="R105" t="str">
        <f>VLOOKUP(A105,budget!$A$5:$I$337,8,FALSE)</f>
        <v>상시 무료 관람 (식음료 및 개인소모품비 제외)</v>
      </c>
      <c r="S105" t="str">
        <f>VLOOKUP(A105,budget!$A$5:$I$337,9,FALSE)</f>
        <v>http://place.map.kakao.com/24414762</v>
      </c>
      <c r="T105">
        <f>VLOOKUP(B105,api!$A$2:$R$334,17,FALSE)</f>
        <v>128.52499423582299</v>
      </c>
      <c r="U105">
        <f>VLOOKUP(B105,api!$A$2:$R$334,18,FALSE)</f>
        <v>38.196912093830498</v>
      </c>
    </row>
    <row r="106" spans="1:21" x14ac:dyDescent="0.3">
      <c r="A106">
        <v>8376588</v>
      </c>
      <c r="B106" t="s">
        <v>104</v>
      </c>
      <c r="C106" t="str">
        <f>VLOOKUP(A106,budget!$A$5:$I$337,3,FALSE)</f>
        <v>설악해맞이공원</v>
      </c>
      <c r="D106" t="str">
        <f>VLOOKUP(B106,api!$A$2:$R$334,2,FALSE)</f>
        <v>속초시</v>
      </c>
      <c r="E106" t="str">
        <f>VLOOKUP(B106,api!$A$2:$R$334,12,FALSE)</f>
        <v>강원특별자치도 속초시 대포동 178-9</v>
      </c>
      <c r="F106" t="s">
        <v>226</v>
      </c>
      <c r="G106" t="str">
        <f>VLOOKUP(A106,budget!$A$5:$I$337,4,FALSE)</f>
        <v>자연경관/자유관광지</v>
      </c>
      <c r="J106" t="str">
        <f>VLOOKUP(A106,budget!$A$5:$I$337,5,FALSE)</f>
        <v>24시간 연중무휴 (자유 방문)</v>
      </c>
      <c r="K106">
        <f>VLOOKUP(B106,api!$A$2:$R$334,14,FALSE)</f>
        <v>0</v>
      </c>
      <c r="L106" t="str">
        <f>VLOOKUP(B106,api!$A$2:$R$334,4,FALSE)</f>
        <v>https://www.sokchotour.com/tour</v>
      </c>
      <c r="M106">
        <f>VLOOKUP(B106,api!$A$2:$R$334,5,FALSE)</f>
        <v>3.8</v>
      </c>
      <c r="N106">
        <f>VLOOKUP(B106,api!$A$2:$R$334,6,FALSE)</f>
        <v>11</v>
      </c>
      <c r="O106">
        <f>VLOOKUP(B106,api!$A$2:$R$334,7,FALSE)</f>
        <v>33</v>
      </c>
      <c r="P106">
        <f>VLOOKUP(A106,budget!$A$5:$I$337,6,FALSE)</f>
        <v>0</v>
      </c>
      <c r="Q106">
        <f>VLOOKUP(A106,budget!$A$5:$I$337,7,FALSE)</f>
        <v>0</v>
      </c>
      <c r="R106" t="str">
        <f>VLOOKUP(A106,budget!$A$5:$I$337,8,FALSE)</f>
        <v>상시 무료 관람 (식음료 및 개인소모품비 제외)</v>
      </c>
      <c r="S106" t="str">
        <f>VLOOKUP(A106,budget!$A$5:$I$337,9,FALSE)</f>
        <v>http://place.map.kakao.com/8376588</v>
      </c>
      <c r="T106">
        <f>VLOOKUP(B106,api!$A$2:$R$334,17,FALSE)</f>
        <v>128.60864602428501</v>
      </c>
      <c r="U106">
        <f>VLOOKUP(B106,api!$A$2:$R$334,18,FALSE)</f>
        <v>38.1632363715159</v>
      </c>
    </row>
    <row r="107" spans="1:21" x14ac:dyDescent="0.3">
      <c r="A107">
        <v>118414704</v>
      </c>
      <c r="B107" t="s">
        <v>105</v>
      </c>
      <c r="C107" t="str">
        <f>VLOOKUP(A107,budget!$A$5:$I$337,3,FALSE)</f>
        <v>섬강 자작나무숲길</v>
      </c>
      <c r="D107" t="str">
        <f>VLOOKUP(B107,api!$A$2:$R$334,2,FALSE)</f>
        <v>원주시</v>
      </c>
      <c r="E107" t="str">
        <f>VLOOKUP(B107,api!$A$2:$R$334,12,FALSE)</f>
        <v>강원특별자치도 원주시 호저면 산현리 117-7</v>
      </c>
      <c r="F107" t="s">
        <v>226</v>
      </c>
      <c r="G107" t="str">
        <f>VLOOKUP(A107,budget!$A$5:$I$337,4,FALSE)</f>
        <v>자연경관/자유관광지</v>
      </c>
      <c r="J107" t="str">
        <f>VLOOKUP(A107,budget!$A$5:$I$337,5,FALSE)</f>
        <v>상시 개방</v>
      </c>
      <c r="K107">
        <f>VLOOKUP(B107,api!$A$2:$R$334,14,FALSE)</f>
        <v>0</v>
      </c>
      <c r="L107" t="str">
        <f>VLOOKUP(B107,api!$A$2:$R$334,4,FALSE)</f>
        <v>https://www.wonju.go.kr/tour/index.do</v>
      </c>
      <c r="M107">
        <f>VLOOKUP(B107,api!$A$2:$R$334,5,FALSE)</f>
        <v>3.8</v>
      </c>
      <c r="N107">
        <f>VLOOKUP(B107,api!$A$2:$R$334,6,FALSE)</f>
        <v>6</v>
      </c>
      <c r="O107">
        <f>VLOOKUP(B107,api!$A$2:$R$334,7,FALSE)</f>
        <v>18</v>
      </c>
      <c r="P107">
        <f>VLOOKUP(A107,budget!$A$5:$I$337,6,FALSE)</f>
        <v>0</v>
      </c>
      <c r="Q107">
        <f>VLOOKUP(A107,budget!$A$5:$I$337,7,FALSE)</f>
        <v>0</v>
      </c>
      <c r="R107" t="str">
        <f>VLOOKUP(A107,budget!$A$5:$I$337,8,FALSE)</f>
        <v>상시 무료 관람 (식음료 및 개인소모품비 제외)</v>
      </c>
      <c r="S107" t="str">
        <f>VLOOKUP(A107,budget!$A$5:$I$337,9,FALSE)</f>
        <v>http://place.map.kakao.com/118414704</v>
      </c>
      <c r="T107">
        <f>VLOOKUP(B107,api!$A$2:$R$334,17,FALSE)</f>
        <v>127.898422800093</v>
      </c>
      <c r="U107">
        <f>VLOOKUP(B107,api!$A$2:$R$334,18,FALSE)</f>
        <v>37.425458864316198</v>
      </c>
    </row>
    <row r="108" spans="1:21" x14ac:dyDescent="0.3">
      <c r="A108">
        <v>1088147159</v>
      </c>
      <c r="B108" t="s">
        <v>106</v>
      </c>
      <c r="C108" t="str">
        <f>VLOOKUP(A108,budget!$A$5:$I$337,3,FALSE)</f>
        <v>소금강 전망대</v>
      </c>
      <c r="D108" t="str">
        <f>VLOOKUP(B108,api!$A$2:$R$334,2,FALSE)</f>
        <v>정선군</v>
      </c>
      <c r="E108" t="str">
        <f>VLOOKUP(B108,api!$A$2:$R$334,12,FALSE)</f>
        <v>강원특별자치도 정선군 화암면 몰운리 산 109-1</v>
      </c>
      <c r="F108" t="s">
        <v>226</v>
      </c>
      <c r="G108" t="str">
        <f>VLOOKUP(A108,budget!$A$5:$I$337,4,FALSE)</f>
        <v>자연경관/자유관광지</v>
      </c>
      <c r="H108" t="s">
        <v>799</v>
      </c>
      <c r="I108" t="s">
        <v>800</v>
      </c>
      <c r="J108" t="str">
        <f>VLOOKUP(A108,budget!$A$5:$I$337,5,FALSE)</f>
        <v>24시간 연중무휴 (자유 방문)</v>
      </c>
      <c r="K108">
        <f>VLOOKUP(B108,api!$A$2:$R$334,14,FALSE)</f>
        <v>0</v>
      </c>
      <c r="L108" t="str">
        <f>VLOOKUP(B108,api!$A$2:$R$334,4,FALSE)</f>
        <v>https://www.jeongseon.go.kr/tour</v>
      </c>
      <c r="M108">
        <f>VLOOKUP(B108,api!$A$2:$R$334,5,FALSE)</f>
        <v>4</v>
      </c>
      <c r="N108">
        <f>VLOOKUP(B108,api!$A$2:$R$334,6,FALSE)</f>
        <v>10</v>
      </c>
      <c r="O108">
        <f>VLOOKUP(B108,api!$A$2:$R$334,7,FALSE)</f>
        <v>9</v>
      </c>
      <c r="P108">
        <f>VLOOKUP(A108,budget!$A$5:$I$337,6,FALSE)</f>
        <v>0</v>
      </c>
      <c r="Q108">
        <f>VLOOKUP(A108,budget!$A$5:$I$337,7,FALSE)</f>
        <v>0</v>
      </c>
      <c r="R108" t="str">
        <f>VLOOKUP(A108,budget!$A$5:$I$337,8,FALSE)</f>
        <v>상시 무료 관람 (식음료 및 개인소모품비 제외)</v>
      </c>
      <c r="S108" t="str">
        <f>VLOOKUP(A108,budget!$A$5:$I$337,9,FALSE)</f>
        <v>http://place.map.kakao.com/1088147159</v>
      </c>
      <c r="T108">
        <f>VLOOKUP(B108,api!$A$2:$R$334,17,FALSE)</f>
        <v>128.79334160197001</v>
      </c>
      <c r="U108">
        <f>VLOOKUP(B108,api!$A$2:$R$334,18,FALSE)</f>
        <v>37.327042558224399</v>
      </c>
    </row>
    <row r="109" spans="1:21" x14ac:dyDescent="0.3">
      <c r="A109">
        <v>26919839</v>
      </c>
      <c r="B109" t="s">
        <v>107</v>
      </c>
      <c r="C109" t="str">
        <f>VLOOKUP(A109,budget!$A$5:$I$337,3,FALSE)</f>
        <v>소양강댐팔각정전망대</v>
      </c>
      <c r="D109" t="str">
        <f>VLOOKUP(B109,api!$A$2:$R$334,2,FALSE)</f>
        <v>춘천시</v>
      </c>
      <c r="E109" t="str">
        <f>VLOOKUP(B109,api!$A$2:$R$334,12,FALSE)</f>
        <v>강원특별자치도 춘천시 동면 월곡리 산 2-7</v>
      </c>
      <c r="F109" t="s">
        <v>226</v>
      </c>
      <c r="G109" t="str">
        <f>VLOOKUP(A109,budget!$A$5:$I$337,4,FALSE)</f>
        <v>자연경관/자유관광지</v>
      </c>
      <c r="H109" t="s">
        <v>799</v>
      </c>
      <c r="I109" t="s">
        <v>800</v>
      </c>
      <c r="J109" t="str">
        <f>VLOOKUP(A109,budget!$A$5:$I$337,5,FALSE)</f>
        <v>24시간 연중무휴 (자유 방문)</v>
      </c>
      <c r="K109">
        <f>VLOOKUP(B109,api!$A$2:$R$334,14,FALSE)</f>
        <v>0</v>
      </c>
      <c r="L109" t="str">
        <f>VLOOKUP(B109,api!$A$2:$R$334,4,FALSE)</f>
        <v>http://tour.chuncheon.go.kr/</v>
      </c>
      <c r="M109">
        <f>VLOOKUP(B109,api!$A$2:$R$334,5,FALSE)</f>
        <v>2.6</v>
      </c>
      <c r="N109">
        <f>VLOOKUP(B109,api!$A$2:$R$334,6,FALSE)</f>
        <v>5</v>
      </c>
      <c r="O109">
        <f>VLOOKUP(B109,api!$A$2:$R$334,7,FALSE)</f>
        <v>1</v>
      </c>
      <c r="P109">
        <f>VLOOKUP(A109,budget!$A$5:$I$337,6,FALSE)</f>
        <v>0</v>
      </c>
      <c r="Q109">
        <f>VLOOKUP(A109,budget!$A$5:$I$337,7,FALSE)</f>
        <v>0</v>
      </c>
      <c r="R109" t="str">
        <f>VLOOKUP(A109,budget!$A$5:$I$337,8,FALSE)</f>
        <v>상시 무료 관람 (식음료 및 개인소모품비 제외)</v>
      </c>
      <c r="S109" t="str">
        <f>VLOOKUP(A109,budget!$A$5:$I$337,9,FALSE)</f>
        <v>http://place.map.kakao.com/26919839</v>
      </c>
      <c r="T109">
        <f>VLOOKUP(B109,api!$A$2:$R$334,17,FALSE)</f>
        <v>127.81841486814</v>
      </c>
      <c r="U109">
        <f>VLOOKUP(B109,api!$A$2:$R$334,18,FALSE)</f>
        <v>37.943818357014003</v>
      </c>
    </row>
    <row r="110" spans="1:21" x14ac:dyDescent="0.3">
      <c r="A110">
        <v>1428165417</v>
      </c>
      <c r="B110" t="s">
        <v>108</v>
      </c>
      <c r="C110" t="str">
        <f>VLOOKUP(A110,budget!$A$5:$I$337,3,FALSE)</f>
        <v>소이산 전망대</v>
      </c>
      <c r="D110" t="str">
        <f>VLOOKUP(B110,api!$A$2:$R$334,2,FALSE)</f>
        <v>철원군</v>
      </c>
      <c r="E110" t="str">
        <f>VLOOKUP(B110,api!$A$2:$R$334,12,FALSE)</f>
        <v>강원특별자치도 철원군 철원읍 사요리 산 4</v>
      </c>
      <c r="F110" t="s">
        <v>226</v>
      </c>
      <c r="G110" t="str">
        <f>VLOOKUP(A110,budget!$A$5:$I$337,4,FALSE)</f>
        <v>자연경관/자유관광지</v>
      </c>
      <c r="H110" t="s">
        <v>799</v>
      </c>
      <c r="I110" t="s">
        <v>800</v>
      </c>
      <c r="J110" t="str">
        <f>VLOOKUP(A110,budget!$A$5:$I$337,5,FALSE)</f>
        <v>24시간 연중무휴 (자유 방문)</v>
      </c>
      <c r="K110">
        <f>VLOOKUP(B110,api!$A$2:$R$334,14,FALSE)</f>
        <v>0</v>
      </c>
      <c r="L110">
        <f>VLOOKUP(B110,api!$A$2:$R$334,4,FALSE)</f>
        <v>0</v>
      </c>
      <c r="M110">
        <f>VLOOKUP(B110,api!$A$2:$R$334,5,FALSE)</f>
        <v>4.3</v>
      </c>
      <c r="N110">
        <f>VLOOKUP(B110,api!$A$2:$R$334,6,FALSE)</f>
        <v>16</v>
      </c>
      <c r="O110">
        <f>VLOOKUP(B110,api!$A$2:$R$334,7,FALSE)</f>
        <v>1</v>
      </c>
      <c r="P110">
        <f>VLOOKUP(A110,budget!$A$5:$I$337,6,FALSE)</f>
        <v>0</v>
      </c>
      <c r="Q110">
        <f>VLOOKUP(A110,budget!$A$5:$I$337,7,FALSE)</f>
        <v>0</v>
      </c>
      <c r="R110" t="str">
        <f>VLOOKUP(A110,budget!$A$5:$I$337,8,FALSE)</f>
        <v>상시 무료 관람 (식음료 및 개인소모품비 제외)</v>
      </c>
      <c r="S110" t="str">
        <f>VLOOKUP(A110,budget!$A$5:$I$337,9,FALSE)</f>
        <v>http://place.map.kakao.com/1428165417</v>
      </c>
      <c r="T110">
        <f>VLOOKUP(B110,api!$A$2:$R$334,17,FALSE)</f>
        <v>127.194562171942</v>
      </c>
      <c r="U110">
        <f>VLOOKUP(B110,api!$A$2:$R$334,18,FALSE)</f>
        <v>38.254738564028798</v>
      </c>
    </row>
    <row r="111" spans="1:21" x14ac:dyDescent="0.3">
      <c r="A111">
        <v>116342044</v>
      </c>
      <c r="B111" t="s">
        <v>109</v>
      </c>
      <c r="C111" t="str">
        <f>VLOOKUP(A111,budget!$A$5:$I$337,3,FALSE)</f>
        <v>소이산모노레일 철원역</v>
      </c>
      <c r="D111" t="str">
        <f>VLOOKUP(B111,api!$A$2:$R$334,2,FALSE)</f>
        <v>철원군</v>
      </c>
      <c r="E111" t="str">
        <f>VLOOKUP(B111,api!$A$2:$R$334,12,FALSE)</f>
        <v>강원특별자치도 철원군 철원읍 사요리 368</v>
      </c>
      <c r="F111" t="s">
        <v>226</v>
      </c>
      <c r="G111" t="str">
        <f>VLOOKUP(A111,budget!$A$5:$I$337,4,FALSE)</f>
        <v>체험/액티비티</v>
      </c>
      <c r="J111" t="str">
        <f>VLOOKUP(A111,budget!$A$5:$I$337,5,FALSE)</f>
        <v>09:00 - 18:00 (매표마감 17:00)</v>
      </c>
      <c r="K111" t="str">
        <f>VLOOKUP(B111,api!$A$2:$R$334,14,FALSE)</f>
        <v>070-7372-0362</v>
      </c>
      <c r="L111">
        <f>VLOOKUP(B111,api!$A$2:$R$334,4,FALSE)</f>
        <v>0</v>
      </c>
      <c r="M111">
        <f>VLOOKUP(B111,api!$A$2:$R$334,5,FALSE)</f>
        <v>4.4000000000000004</v>
      </c>
      <c r="N111">
        <f>VLOOKUP(B111,api!$A$2:$R$334,6,FALSE)</f>
        <v>33</v>
      </c>
      <c r="O111">
        <f>VLOOKUP(B111,api!$A$2:$R$334,7,FALSE)</f>
        <v>54</v>
      </c>
      <c r="P111">
        <f>VLOOKUP(A111,budget!$A$5:$I$337,6,FALSE)</f>
        <v>10000</v>
      </c>
      <c r="Q111">
        <f>VLOOKUP(A111,budget!$A$5:$I$337,7,FALSE)</f>
        <v>35000</v>
      </c>
      <c r="R111" t="str">
        <f>VLOOKUP(A111,budget!$A$5:$I$337,8,FALSE)</f>
        <v>1인 승선/체험권 기준 (코스 및 이용 상품에 따라 변동)</v>
      </c>
      <c r="S111" t="str">
        <f>VLOOKUP(A111,budget!$A$5:$I$337,9,FALSE)</f>
        <v>http://place.map.kakao.com/116342044</v>
      </c>
      <c r="T111">
        <f>VLOOKUP(B111,api!$A$2:$R$334,17,FALSE)</f>
        <v>127.199317950553</v>
      </c>
      <c r="U111">
        <f>VLOOKUP(B111,api!$A$2:$R$334,18,FALSE)</f>
        <v>38.2541666265084</v>
      </c>
    </row>
    <row r="112" spans="1:21" x14ac:dyDescent="0.3">
      <c r="A112">
        <v>12797187</v>
      </c>
      <c r="B112" t="s">
        <v>110</v>
      </c>
      <c r="C112" t="str">
        <f>VLOOKUP(A112,budget!$A$5:$I$337,3,FALSE)</f>
        <v>속초관광수산시장</v>
      </c>
      <c r="D112" t="str">
        <f>VLOOKUP(B112,api!$A$2:$R$334,2,FALSE)</f>
        <v>속초시</v>
      </c>
      <c r="E112" t="str">
        <f>VLOOKUP(B112,api!$A$2:$R$334,12,FALSE)</f>
        <v>강원특별자치도 속초시 중앙동 471-4</v>
      </c>
      <c r="F112" t="s">
        <v>226</v>
      </c>
      <c r="G112" t="str">
        <f>VLOOKUP(A112,budget!$A$5:$I$337,4,FALSE)</f>
        <v>자연경관/자유관광지</v>
      </c>
      <c r="J112" t="str">
        <f>VLOOKUP(A112,budget!$A$5:$I$337,5,FALSE)</f>
        <v>24시간 연중무휴 (자유 방문)</v>
      </c>
      <c r="K112" t="str">
        <f>VLOOKUP(B112,api!$A$2:$R$334,14,FALSE)</f>
        <v>033-635-8433</v>
      </c>
      <c r="L112" t="str">
        <f>VLOOKUP(B112,api!$A$2:$R$334,4,FALSE)</f>
        <v>http://sokcho-central.co.kr/</v>
      </c>
      <c r="M112">
        <f>VLOOKUP(B112,api!$A$2:$R$334,5,FALSE)</f>
        <v>3.6</v>
      </c>
      <c r="N112">
        <f>VLOOKUP(B112,api!$A$2:$R$334,6,FALSE)</f>
        <v>527</v>
      </c>
      <c r="O112">
        <f>VLOOKUP(B112,api!$A$2:$R$334,7,FALSE)</f>
        <v>994</v>
      </c>
      <c r="P112">
        <f>VLOOKUP(A112,budget!$A$5:$I$337,6,FALSE)</f>
        <v>0</v>
      </c>
      <c r="Q112">
        <f>VLOOKUP(A112,budget!$A$5:$I$337,7,FALSE)</f>
        <v>0</v>
      </c>
      <c r="R112" t="str">
        <f>VLOOKUP(A112,budget!$A$5:$I$337,8,FALSE)</f>
        <v>상시 무료 관람 (식음료 및 개인소모품비 제외)</v>
      </c>
      <c r="S112" t="str">
        <f>VLOOKUP(A112,budget!$A$5:$I$337,9,FALSE)</f>
        <v>http://place.map.kakao.com/12797187</v>
      </c>
      <c r="T112">
        <f>VLOOKUP(B112,api!$A$2:$R$334,17,FALSE)</f>
        <v>128.59024573500901</v>
      </c>
      <c r="U112">
        <f>VLOOKUP(B112,api!$A$2:$R$334,18,FALSE)</f>
        <v>38.204542733975103</v>
      </c>
    </row>
    <row r="113" spans="1:21" x14ac:dyDescent="0.3">
      <c r="A113">
        <v>7952590</v>
      </c>
      <c r="B113" t="s">
        <v>111</v>
      </c>
      <c r="C113" t="str">
        <f>VLOOKUP(A113,budget!$A$5:$I$337,3,FALSE)</f>
        <v>속초등대</v>
      </c>
      <c r="D113" t="str">
        <f>VLOOKUP(B113,api!$A$2:$R$334,2,FALSE)</f>
        <v>속초시</v>
      </c>
      <c r="E113" t="str">
        <f>VLOOKUP(B113,api!$A$2:$R$334,12,FALSE)</f>
        <v>강원특별자치도 속초시 영랑동 1-7</v>
      </c>
      <c r="F113" t="s">
        <v>226</v>
      </c>
      <c r="G113" t="str">
        <f>VLOOKUP(A113,budget!$A$5:$I$337,4,FALSE)</f>
        <v>자연경관/자유관광지</v>
      </c>
      <c r="H113" t="s">
        <v>799</v>
      </c>
      <c r="I113" t="s">
        <v>800</v>
      </c>
      <c r="J113" t="str">
        <f>VLOOKUP(A113,budget!$A$5:$I$337,5,FALSE)</f>
        <v>24시간 연중무휴 (자유 방문)</v>
      </c>
      <c r="K113" t="str">
        <f>VLOOKUP(B113,api!$A$2:$R$334,14,FALSE)</f>
        <v>033-633-3406</v>
      </c>
      <c r="L113" t="str">
        <f>VLOOKUP(B113,api!$A$2:$R$334,4,FALSE)</f>
        <v>https://www.sokchotour.com/tour</v>
      </c>
      <c r="M113">
        <f>VLOOKUP(B113,api!$A$2:$R$334,5,FALSE)</f>
        <v>4.2</v>
      </c>
      <c r="N113">
        <f>VLOOKUP(B113,api!$A$2:$R$334,6,FALSE)</f>
        <v>69</v>
      </c>
      <c r="O113">
        <f>VLOOKUP(B113,api!$A$2:$R$334,7,FALSE)</f>
        <v>42</v>
      </c>
      <c r="P113">
        <f>VLOOKUP(A113,budget!$A$5:$I$337,6,FALSE)</f>
        <v>0</v>
      </c>
      <c r="Q113">
        <f>VLOOKUP(A113,budget!$A$5:$I$337,7,FALSE)</f>
        <v>0</v>
      </c>
      <c r="R113" t="str">
        <f>VLOOKUP(A113,budget!$A$5:$I$337,8,FALSE)</f>
        <v>상시 무료 관람 (식음료 및 개인소모품비 제외)</v>
      </c>
      <c r="S113" t="str">
        <f>VLOOKUP(A113,budget!$A$5:$I$337,9,FALSE)</f>
        <v>http://place.map.kakao.com/7952590</v>
      </c>
      <c r="T113">
        <f>VLOOKUP(B113,api!$A$2:$R$334,17,FALSE)</f>
        <v>128.60030738807501</v>
      </c>
      <c r="U113">
        <f>VLOOKUP(B113,api!$A$2:$R$334,18,FALSE)</f>
        <v>38.213644730027603</v>
      </c>
    </row>
    <row r="114" spans="1:21" x14ac:dyDescent="0.3">
      <c r="A114">
        <v>22099937</v>
      </c>
      <c r="B114" t="s">
        <v>112</v>
      </c>
      <c r="C114" t="str">
        <f>VLOOKUP(A114,budget!$A$5:$I$337,3,FALSE)</f>
        <v>속초해수욕장</v>
      </c>
      <c r="D114" t="str">
        <f>VLOOKUP(B114,api!$A$2:$R$334,2,FALSE)</f>
        <v>속초시</v>
      </c>
      <c r="E114" t="str">
        <f>VLOOKUP(B114,api!$A$2:$R$334,12,FALSE)</f>
        <v>강원특별자치도 속초시 조양동 1464-7</v>
      </c>
      <c r="F114" t="s">
        <v>226</v>
      </c>
      <c r="G114" t="str">
        <f>VLOOKUP(A114,budget!$A$5:$I$337,4,FALSE)</f>
        <v>자연경관/자유관광지</v>
      </c>
      <c r="H114" t="s">
        <v>799</v>
      </c>
      <c r="I114" t="s">
        <v>800</v>
      </c>
      <c r="J114" t="str">
        <f>VLOOKUP(A114,budget!$A$5:$I$337,5,FALSE)</f>
        <v>24시간 연중무휴 (자유 방문)</v>
      </c>
      <c r="K114" t="str">
        <f>VLOOKUP(B114,api!$A$2:$R$334,14,FALSE)</f>
        <v>033-631-6055</v>
      </c>
      <c r="L114" t="str">
        <f>VLOOKUP(B114,api!$A$2:$R$334,4,FALSE)</f>
        <v>https://www.sokchotour.com/tour</v>
      </c>
      <c r="M114">
        <f>VLOOKUP(B114,api!$A$2:$R$334,5,FALSE)</f>
        <v>4.5</v>
      </c>
      <c r="N114">
        <f>VLOOKUP(B114,api!$A$2:$R$334,6,FALSE)</f>
        <v>321</v>
      </c>
      <c r="O114">
        <f>VLOOKUP(B114,api!$A$2:$R$334,7,FALSE)</f>
        <v>589</v>
      </c>
      <c r="P114">
        <f>VLOOKUP(A114,budget!$A$5:$I$337,6,FALSE)</f>
        <v>0</v>
      </c>
      <c r="Q114">
        <f>VLOOKUP(A114,budget!$A$5:$I$337,7,FALSE)</f>
        <v>0</v>
      </c>
      <c r="R114" t="str">
        <f>VLOOKUP(A114,budget!$A$5:$I$337,8,FALSE)</f>
        <v>상시 무료 관람 (식음료 및 개인소모품비 제외)</v>
      </c>
      <c r="S114" t="str">
        <f>VLOOKUP(A114,budget!$A$5:$I$337,9,FALSE)</f>
        <v>http://place.map.kakao.com/22099937</v>
      </c>
      <c r="T114">
        <f>VLOOKUP(B114,api!$A$2:$R$334,17,FALSE)</f>
        <v>128.604098478059</v>
      </c>
      <c r="U114">
        <f>VLOOKUP(B114,api!$A$2:$R$334,18,FALSE)</f>
        <v>38.190052888143697</v>
      </c>
    </row>
    <row r="115" spans="1:21" x14ac:dyDescent="0.3">
      <c r="A115">
        <v>17958942</v>
      </c>
      <c r="B115" t="s">
        <v>113</v>
      </c>
      <c r="C115" t="str">
        <f>VLOOKUP(A115,budget!$A$5:$I$337,3,FALSE)</f>
        <v>송이밸리자연휴양림</v>
      </c>
      <c r="D115" t="str">
        <f>VLOOKUP(B115,api!$A$2:$R$334,2,FALSE)</f>
        <v>양양군</v>
      </c>
      <c r="E115" t="str">
        <f>VLOOKUP(B115,api!$A$2:$R$334,12,FALSE)</f>
        <v>강원특별자치도 양양군 양양읍 월리 506-5</v>
      </c>
      <c r="F115" t="s">
        <v>226</v>
      </c>
      <c r="G115" t="str">
        <f>VLOOKUP(A115,budget!$A$5:$I$337,4,FALSE)</f>
        <v>휴양림/수목원</v>
      </c>
      <c r="H115" t="s">
        <v>799</v>
      </c>
      <c r="I115" t="s">
        <v>800</v>
      </c>
      <c r="J115" t="str">
        <f>VLOOKUP(A115,budget!$A$5:$I$337,5,FALSE)</f>
        <v>09:00 - 18:00 (화요일/월요일 휴무)</v>
      </c>
      <c r="K115" t="str">
        <f>VLOOKUP(B115,api!$A$2:$R$334,14,FALSE)</f>
        <v>033-670-2644</v>
      </c>
      <c r="L115" t="str">
        <f>VLOOKUP(B115,api!$A$2:$R$334,4,FALSE)</f>
        <v>https://www.foresttrip.go.kr/indvz/main.do?hmpgId=ID02030049</v>
      </c>
      <c r="M115">
        <f>VLOOKUP(B115,api!$A$2:$R$334,5,FALSE)</f>
        <v>4.0999999999999996</v>
      </c>
      <c r="N115">
        <f>VLOOKUP(B115,api!$A$2:$R$334,6,FALSE)</f>
        <v>27</v>
      </c>
      <c r="O115">
        <f>VLOOKUP(B115,api!$A$2:$R$334,7,FALSE)</f>
        <v>33</v>
      </c>
      <c r="P115">
        <f>VLOOKUP(A115,budget!$A$5:$I$337,6,FALSE)</f>
        <v>1000</v>
      </c>
      <c r="Q115">
        <f>VLOOKUP(A115,budget!$A$5:$I$337,7,FALSE)</f>
        <v>5000</v>
      </c>
      <c r="R115" t="str">
        <f>VLOOKUP(A115,budget!$A$5:$I$337,8,FALSE)</f>
        <v>국공립/민간 휴양림 입장료 기준 (숙박/체험비 제외)</v>
      </c>
      <c r="S115" t="str">
        <f>VLOOKUP(A115,budget!$A$5:$I$337,9,FALSE)</f>
        <v>http://place.map.kakao.com/17958942</v>
      </c>
      <c r="T115">
        <f>VLOOKUP(B115,api!$A$2:$R$334,17,FALSE)</f>
        <v>128.62145550954901</v>
      </c>
      <c r="U115">
        <f>VLOOKUP(B115,api!$A$2:$R$334,18,FALSE)</f>
        <v>38.053970144870298</v>
      </c>
    </row>
    <row r="116" spans="1:21" x14ac:dyDescent="0.3">
      <c r="A116">
        <v>1482807704</v>
      </c>
      <c r="B116" t="s">
        <v>114</v>
      </c>
      <c r="C116" t="str">
        <f>VLOOKUP(A116,budget!$A$5:$I$337,3,FALSE)</f>
        <v>송지호밀리터리체험장</v>
      </c>
      <c r="D116" t="str">
        <f>VLOOKUP(B116,api!$A$2:$R$334,2,FALSE)</f>
        <v>고성군</v>
      </c>
      <c r="E116" t="str">
        <f>VLOOKUP(B116,api!$A$2:$R$334,12,FALSE)</f>
        <v>강원특별자치도 고성군 죽왕면 오봉리 9-38</v>
      </c>
      <c r="F116" t="s">
        <v>226</v>
      </c>
      <c r="G116" t="str">
        <f>VLOOKUP(A116,budget!$A$5:$I$337,4,FALSE)</f>
        <v>자연경관/자유관광지</v>
      </c>
      <c r="J116" t="str">
        <f>VLOOKUP(A116,budget!$A$5:$I$337,5,FALSE)</f>
        <v>상시 개방</v>
      </c>
      <c r="K116" t="str">
        <f>VLOOKUP(B116,api!$A$2:$R$334,14,FALSE)</f>
        <v>033-680-4040</v>
      </c>
      <c r="L116" t="str">
        <f>VLOOKUP(B116,api!$A$2:$R$334,4,FALSE)</f>
        <v>https://www.gwgs.go.kr/tour/index.do</v>
      </c>
      <c r="M116">
        <f>VLOOKUP(B116,api!$A$2:$R$334,5,FALSE)</f>
        <v>4.5</v>
      </c>
      <c r="N116">
        <f>VLOOKUP(B116,api!$A$2:$R$334,6,FALSE)</f>
        <v>13</v>
      </c>
      <c r="O116">
        <f>VLOOKUP(B116,api!$A$2:$R$334,7,FALSE)</f>
        <v>8</v>
      </c>
      <c r="P116">
        <f>VLOOKUP(A116,budget!$A$5:$I$337,6,FALSE)</f>
        <v>0</v>
      </c>
      <c r="Q116">
        <f>VLOOKUP(A116,budget!$A$5:$I$337,7,FALSE)</f>
        <v>0</v>
      </c>
      <c r="R116" t="str">
        <f>VLOOKUP(A116,budget!$A$5:$I$337,8,FALSE)</f>
        <v>상시 무료 관람 (식음료 및 개인소모품비 제외)</v>
      </c>
      <c r="S116" t="str">
        <f>VLOOKUP(A116,budget!$A$5:$I$337,9,FALSE)</f>
        <v>http://place.map.kakao.com/1482807704</v>
      </c>
      <c r="T116">
        <f>VLOOKUP(B116,api!$A$2:$R$334,17,FALSE)</f>
        <v>128.51369466054899</v>
      </c>
      <c r="U116">
        <f>VLOOKUP(B116,api!$A$2:$R$334,18,FALSE)</f>
        <v>38.3440883021376</v>
      </c>
    </row>
    <row r="117" spans="1:21" x14ac:dyDescent="0.3">
      <c r="A117">
        <v>9159196</v>
      </c>
      <c r="B117" t="s">
        <v>115</v>
      </c>
      <c r="C117" t="str">
        <f>VLOOKUP(A117,budget!$A$5:$I$337,3,FALSE)</f>
        <v>송지호관망타워</v>
      </c>
      <c r="D117" t="str">
        <f>VLOOKUP(B117,api!$A$2:$R$334,2,FALSE)</f>
        <v>고성군</v>
      </c>
      <c r="E117" t="str">
        <f>VLOOKUP(B117,api!$A$2:$R$334,12,FALSE)</f>
        <v>강원특별자치도 고성군 죽왕면 오봉리 9-34</v>
      </c>
      <c r="F117" t="s">
        <v>225</v>
      </c>
      <c r="G117" t="str">
        <f>VLOOKUP(A117,budget!$A$5:$I$337,4,FALSE)</f>
        <v>문화/전람/동굴/전망시설</v>
      </c>
      <c r="H117" t="s">
        <v>799</v>
      </c>
      <c r="I117" t="s">
        <v>800</v>
      </c>
      <c r="J117" t="str">
        <f>VLOOKUP(A117,budget!$A$5:$I$337,5,FALSE)</f>
        <v>10:00 - 18:00 (하절기/주말 연장운영)</v>
      </c>
      <c r="K117" t="str">
        <f>VLOOKUP(B117,api!$A$2:$R$334,14,FALSE)</f>
        <v>033-680-3556</v>
      </c>
      <c r="L117" t="str">
        <f>VLOOKUP(B117,api!$A$2:$R$334,4,FALSE)</f>
        <v>https://www.gwgs.go.kr/prog/tursmCn/tour/sub02_05/view.do?cntno=49</v>
      </c>
      <c r="M117">
        <f>VLOOKUP(B117,api!$A$2:$R$334,5,FALSE)</f>
        <v>3.9</v>
      </c>
      <c r="N117">
        <f>VLOOKUP(B117,api!$A$2:$R$334,6,FALSE)</f>
        <v>43</v>
      </c>
      <c r="O117">
        <f>VLOOKUP(B117,api!$A$2:$R$334,7,FALSE)</f>
        <v>94</v>
      </c>
      <c r="P117">
        <f>VLOOKUP(A117,budget!$A$5:$I$337,6,FALSE)</f>
        <v>2000</v>
      </c>
      <c r="Q117">
        <f>VLOOKUP(A117,budget!$A$5:$I$337,7,FALSE)</f>
        <v>10000</v>
      </c>
      <c r="R117" t="str">
        <f>VLOOKUP(A117,budget!$A$5:$I$337,8,FALSE)</f>
        <v>대인 관람료 및 전망대/스카이워크 이용료 기준</v>
      </c>
      <c r="S117" t="str">
        <f>VLOOKUP(A117,budget!$A$5:$I$337,9,FALSE)</f>
        <v>http://place.map.kakao.com/9159196</v>
      </c>
      <c r="T117">
        <f>VLOOKUP(B117,api!$A$2:$R$334,17,FALSE)</f>
        <v>128.517608792673</v>
      </c>
      <c r="U117">
        <f>VLOOKUP(B117,api!$A$2:$R$334,18,FALSE)</f>
        <v>38.336252056268499</v>
      </c>
    </row>
    <row r="118" spans="1:21" x14ac:dyDescent="0.3">
      <c r="A118">
        <v>23680795</v>
      </c>
      <c r="B118" t="s">
        <v>116</v>
      </c>
      <c r="C118" t="str">
        <f>VLOOKUP(A118,budget!$A$5:$I$337,3,FALSE)</f>
        <v>수로부인헌화공원</v>
      </c>
      <c r="D118" t="str">
        <f>VLOOKUP(B118,api!$A$2:$R$334,2,FALSE)</f>
        <v>삼척시</v>
      </c>
      <c r="E118" t="str">
        <f>VLOOKUP(B118,api!$A$2:$R$334,12,FALSE)</f>
        <v>강원특별자치도 삼척시 원덕읍 임원리 산 323-4</v>
      </c>
      <c r="F118" t="s">
        <v>226</v>
      </c>
      <c r="G118" t="str">
        <f>VLOOKUP(A118,budget!$A$5:$I$337,4,FALSE)</f>
        <v>자연경관/자유관광지</v>
      </c>
      <c r="J118" t="str">
        <f>VLOOKUP(A118,budget!$A$5:$I$337,5,FALSE)</f>
        <v>24시간 연중무휴 (자유 방문)</v>
      </c>
      <c r="K118" t="str">
        <f>VLOOKUP(B118,api!$A$2:$R$334,14,FALSE)</f>
        <v>033-576-0589</v>
      </c>
      <c r="L118" t="str">
        <f>VLOOKUP(B118,api!$A$2:$R$334,4,FALSE)</f>
        <v>https://www.samcheok.go.kr/tour.web</v>
      </c>
      <c r="M118">
        <f>VLOOKUP(B118,api!$A$2:$R$334,5,FALSE)</f>
        <v>3.6</v>
      </c>
      <c r="N118">
        <f>VLOOKUP(B118,api!$A$2:$R$334,6,FALSE)</f>
        <v>32</v>
      </c>
      <c r="O118">
        <f>VLOOKUP(B118,api!$A$2:$R$334,7,FALSE)</f>
        <v>5</v>
      </c>
      <c r="P118">
        <f>VLOOKUP(A118,budget!$A$5:$I$337,6,FALSE)</f>
        <v>0</v>
      </c>
      <c r="Q118">
        <f>VLOOKUP(A118,budget!$A$5:$I$337,7,FALSE)</f>
        <v>0</v>
      </c>
      <c r="R118" t="str">
        <f>VLOOKUP(A118,budget!$A$5:$I$337,8,FALSE)</f>
        <v>상시 무료 관람 (식음료 및 개인소모품비 제외)</v>
      </c>
      <c r="S118" t="str">
        <f>VLOOKUP(A118,budget!$A$5:$I$337,9,FALSE)</f>
        <v>http://place.map.kakao.com/23680795</v>
      </c>
      <c r="T118">
        <f>VLOOKUP(B118,api!$A$2:$R$334,17,FALSE)</f>
        <v>129.34981289203901</v>
      </c>
      <c r="U118">
        <f>VLOOKUP(B118,api!$A$2:$R$334,18,FALSE)</f>
        <v>37.234680403993899</v>
      </c>
    </row>
    <row r="119" spans="1:21" x14ac:dyDescent="0.3">
      <c r="A119">
        <v>10544634</v>
      </c>
      <c r="B119" t="s">
        <v>117</v>
      </c>
      <c r="C119" t="str">
        <f>VLOOKUP(A119,budget!$A$5:$I$337,3,FALSE)</f>
        <v>수타사</v>
      </c>
      <c r="D119" t="str">
        <f>VLOOKUP(B119,api!$A$2:$R$334,2,FALSE)</f>
        <v>홍천군</v>
      </c>
      <c r="E119" t="str">
        <f>VLOOKUP(B119,api!$A$2:$R$334,12,FALSE)</f>
        <v>강원특별자치도 홍천군 영귀미면 덕치리 9</v>
      </c>
      <c r="F119" t="s">
        <v>226</v>
      </c>
      <c r="G119" t="str">
        <f>VLOOKUP(A119,budget!$A$5:$I$337,4,FALSE)</f>
        <v>자연경관/자유관광지</v>
      </c>
      <c r="J119" t="str">
        <f>VLOOKUP(A119,budget!$A$5:$I$337,5,FALSE)</f>
        <v>05:00 - 18:00 (일몰 시까지)</v>
      </c>
      <c r="K119" t="str">
        <f>VLOOKUP(B119,api!$A$2:$R$334,14,FALSE)</f>
        <v>033-436-6611</v>
      </c>
      <c r="L119" t="str">
        <f>VLOOKUP(B119,api!$A$2:$R$334,4,FALSE)</f>
        <v>http://www.sutasa.org/</v>
      </c>
      <c r="M119">
        <f>VLOOKUP(B119,api!$A$2:$R$334,5,FALSE)</f>
        <v>4.8</v>
      </c>
      <c r="N119">
        <f>VLOOKUP(B119,api!$A$2:$R$334,6,FALSE)</f>
        <v>39</v>
      </c>
      <c r="O119">
        <f>VLOOKUP(B119,api!$A$2:$R$334,7,FALSE)</f>
        <v>170</v>
      </c>
      <c r="P119">
        <f>VLOOKUP(A119,budget!$A$5:$I$337,6,FALSE)</f>
        <v>0</v>
      </c>
      <c r="Q119">
        <f>VLOOKUP(A119,budget!$A$5:$I$337,7,FALSE)</f>
        <v>0</v>
      </c>
      <c r="R119" t="str">
        <f>VLOOKUP(A119,budget!$A$5:$I$337,8,FALSE)</f>
        <v>상시 무료 관람 (식음료 및 개인소모품비 제외)</v>
      </c>
      <c r="S119" t="str">
        <f>VLOOKUP(A119,budget!$A$5:$I$337,9,FALSE)</f>
        <v>http://place.map.kakao.com/10544634</v>
      </c>
      <c r="T119">
        <f>VLOOKUP(B119,api!$A$2:$R$334,17,FALSE)</f>
        <v>127.959095049165</v>
      </c>
      <c r="U119">
        <f>VLOOKUP(B119,api!$A$2:$R$334,18,FALSE)</f>
        <v>37.698500385865501</v>
      </c>
    </row>
    <row r="120" spans="1:21" x14ac:dyDescent="0.3">
      <c r="A120">
        <v>1205240657</v>
      </c>
      <c r="B120" t="s">
        <v>118</v>
      </c>
      <c r="C120" t="str">
        <f>VLOOKUP(A120,budget!$A$5:$I$337,3,FALSE)</f>
        <v>수타사농촌테마공원</v>
      </c>
      <c r="D120" t="str">
        <f>VLOOKUP(B120,api!$A$2:$R$334,2,FALSE)</f>
        <v>홍천군</v>
      </c>
      <c r="E120" t="str">
        <f>VLOOKUP(B120,api!$A$2:$R$334,12,FALSE)</f>
        <v>강원특별자치도 홍천군 영귀미면 덕치리 614</v>
      </c>
      <c r="F120" t="s">
        <v>226</v>
      </c>
      <c r="G120" t="str">
        <f>VLOOKUP(A120,budget!$A$5:$I$337,4,FALSE)</f>
        <v>자연경관/자유관광지</v>
      </c>
      <c r="J120" t="str">
        <f>VLOOKUP(A120,budget!$A$5:$I$337,5,FALSE)</f>
        <v>24시간 연중무휴 (자유 방문)</v>
      </c>
      <c r="K120">
        <f>VLOOKUP(B120,api!$A$2:$R$334,14,FALSE)</f>
        <v>0</v>
      </c>
      <c r="L120" t="str">
        <f>VLOOKUP(B120,api!$A$2:$R$334,4,FALSE)</f>
        <v>https://www.hongcheon.go.kr/tour/contents.do?key=2048</v>
      </c>
      <c r="M120">
        <f>VLOOKUP(B120,api!$A$2:$R$334,5,FALSE)</f>
        <v>4.8</v>
      </c>
      <c r="N120">
        <f>VLOOKUP(B120,api!$A$2:$R$334,6,FALSE)</f>
        <v>14</v>
      </c>
      <c r="O120">
        <f>VLOOKUP(B120,api!$A$2:$R$334,7,FALSE)</f>
        <v>101</v>
      </c>
      <c r="P120">
        <f>VLOOKUP(A120,budget!$A$5:$I$337,6,FALSE)</f>
        <v>0</v>
      </c>
      <c r="Q120">
        <f>VLOOKUP(A120,budget!$A$5:$I$337,7,FALSE)</f>
        <v>0</v>
      </c>
      <c r="R120" t="str">
        <f>VLOOKUP(A120,budget!$A$5:$I$337,8,FALSE)</f>
        <v>상시 무료 관람 (식음료 및 개인소모품비 제외)</v>
      </c>
      <c r="S120" t="str">
        <f>VLOOKUP(A120,budget!$A$5:$I$337,9,FALSE)</f>
        <v>http://place.map.kakao.com/1205240657</v>
      </c>
      <c r="T120">
        <f>VLOOKUP(B120,api!$A$2:$R$334,17,FALSE)</f>
        <v>127.952202104579</v>
      </c>
      <c r="U120">
        <f>VLOOKUP(B120,api!$A$2:$R$334,18,FALSE)</f>
        <v>37.694851570226803</v>
      </c>
    </row>
    <row r="121" spans="1:21" x14ac:dyDescent="0.3">
      <c r="A121">
        <v>7967160</v>
      </c>
      <c r="B121" t="s">
        <v>119</v>
      </c>
      <c r="C121" t="str">
        <f>VLOOKUP(A121,budget!$A$5:$I$337,3,FALSE)</f>
        <v>순담계곡</v>
      </c>
      <c r="D121" t="str">
        <f>VLOOKUP(B121,api!$A$2:$R$334,2,FALSE)</f>
        <v>철원군</v>
      </c>
      <c r="E121" t="str">
        <f>VLOOKUP(B121,api!$A$2:$R$334,12,FALSE)</f>
        <v>강원특별자치도 철원군 갈말읍 군탄리</v>
      </c>
      <c r="F121" t="s">
        <v>226</v>
      </c>
      <c r="G121" t="str">
        <f>VLOOKUP(A121,budget!$A$5:$I$337,4,FALSE)</f>
        <v>자연경관/자유관광지</v>
      </c>
      <c r="H121" t="s">
        <v>799</v>
      </c>
      <c r="I121" t="s">
        <v>800</v>
      </c>
      <c r="J121" t="str">
        <f>VLOOKUP(A121,budget!$A$5:$I$337,5,FALSE)</f>
        <v>24시간 연중무휴 (자유 방문)</v>
      </c>
      <c r="K121" t="str">
        <f>VLOOKUP(B121,api!$A$2:$R$334,14,FALSE)</f>
        <v>033-450-5365</v>
      </c>
      <c r="L121">
        <f>VLOOKUP(B121,api!$A$2:$R$334,4,FALSE)</f>
        <v>0</v>
      </c>
      <c r="M121">
        <f>VLOOKUP(B121,api!$A$2:$R$334,5,FALSE)</f>
        <v>4.4000000000000004</v>
      </c>
      <c r="N121">
        <f>VLOOKUP(B121,api!$A$2:$R$334,6,FALSE)</f>
        <v>25</v>
      </c>
      <c r="O121">
        <f>VLOOKUP(B121,api!$A$2:$R$334,7,FALSE)</f>
        <v>15</v>
      </c>
      <c r="P121">
        <f>VLOOKUP(A121,budget!$A$5:$I$337,6,FALSE)</f>
        <v>0</v>
      </c>
      <c r="Q121">
        <f>VLOOKUP(A121,budget!$A$5:$I$337,7,FALSE)</f>
        <v>0</v>
      </c>
      <c r="R121" t="str">
        <f>VLOOKUP(A121,budget!$A$5:$I$337,8,FALSE)</f>
        <v>상시 무료 관람 (식음료 및 개인소모품비 제외)</v>
      </c>
      <c r="S121" t="str">
        <f>VLOOKUP(A121,budget!$A$5:$I$337,9,FALSE)</f>
        <v>http://place.map.kakao.com/7967160</v>
      </c>
      <c r="T121">
        <f>VLOOKUP(B121,api!$A$2:$R$334,17,FALSE)</f>
        <v>127.29836185604999</v>
      </c>
      <c r="U121">
        <f>VLOOKUP(B121,api!$A$2:$R$334,18,FALSE)</f>
        <v>38.175804097035801</v>
      </c>
    </row>
    <row r="122" spans="1:21" x14ac:dyDescent="0.3">
      <c r="A122">
        <v>25617721</v>
      </c>
      <c r="B122" t="s">
        <v>120</v>
      </c>
      <c r="C122" t="str">
        <f>VLOOKUP(A122,budget!$A$5:$I$337,3,FALSE)</f>
        <v>십이선녀탕계곡</v>
      </c>
      <c r="D122" t="str">
        <f>VLOOKUP(B122,api!$A$2:$R$334,2,FALSE)</f>
        <v>인제군</v>
      </c>
      <c r="E122" t="str">
        <f>VLOOKUP(B122,api!$A$2:$R$334,12,FALSE)</f>
        <v>강원특별자치도 인제군 북면 용대리</v>
      </c>
      <c r="F122" t="s">
        <v>226</v>
      </c>
      <c r="G122" t="str">
        <f>VLOOKUP(A122,budget!$A$5:$I$337,4,FALSE)</f>
        <v>자연경관/자유관광지</v>
      </c>
      <c r="H122" t="s">
        <v>799</v>
      </c>
      <c r="I122" t="s">
        <v>800</v>
      </c>
      <c r="J122" t="str">
        <f>VLOOKUP(A122,budget!$A$5:$I$337,5,FALSE)</f>
        <v>24시간 연중무휴 (자유 방문)</v>
      </c>
      <c r="K122">
        <f>VLOOKUP(B122,api!$A$2:$R$334,14,FALSE)</f>
        <v>0</v>
      </c>
      <c r="L122">
        <f>VLOOKUP(B122,api!$A$2:$R$334,4,FALSE)</f>
        <v>0</v>
      </c>
      <c r="M122">
        <f>VLOOKUP(B122,api!$A$2:$R$334,5,FALSE)</f>
        <v>4.5999999999999996</v>
      </c>
      <c r="N122">
        <f>VLOOKUP(B122,api!$A$2:$R$334,6,FALSE)</f>
        <v>8</v>
      </c>
      <c r="O122">
        <f>VLOOKUP(B122,api!$A$2:$R$334,7,FALSE)</f>
        <v>15</v>
      </c>
      <c r="P122">
        <f>VLOOKUP(A122,budget!$A$5:$I$337,6,FALSE)</f>
        <v>0</v>
      </c>
      <c r="Q122">
        <f>VLOOKUP(A122,budget!$A$5:$I$337,7,FALSE)</f>
        <v>0</v>
      </c>
      <c r="R122" t="str">
        <f>VLOOKUP(A122,budget!$A$5:$I$337,8,FALSE)</f>
        <v>상시 무료 관람 (식음료 및 개인소모품비 제외)</v>
      </c>
      <c r="S122" t="str">
        <f>VLOOKUP(A122,budget!$A$5:$I$337,9,FALSE)</f>
        <v>http://place.map.kakao.com/25617721</v>
      </c>
      <c r="T122">
        <f>VLOOKUP(B122,api!$A$2:$R$334,17,FALSE)</f>
        <v>128.31593400692401</v>
      </c>
      <c r="U122">
        <f>VLOOKUP(B122,api!$A$2:$R$334,18,FALSE)</f>
        <v>38.168741104196897</v>
      </c>
    </row>
    <row r="123" spans="1:21" x14ac:dyDescent="0.3">
      <c r="A123">
        <v>8416134</v>
      </c>
      <c r="B123" t="s">
        <v>121</v>
      </c>
      <c r="C123" t="str">
        <f>VLOOKUP(A123,budget!$A$5:$I$337,3,FALSE)</f>
        <v>아들바위공원</v>
      </c>
      <c r="D123" t="str">
        <f>VLOOKUP(B123,api!$A$2:$R$334,2,FALSE)</f>
        <v>강릉시</v>
      </c>
      <c r="E123" t="str">
        <f>VLOOKUP(B123,api!$A$2:$R$334,12,FALSE)</f>
        <v>강원특별자치도 강릉시 주문진읍 주문리</v>
      </c>
      <c r="F123" t="s">
        <v>226</v>
      </c>
      <c r="G123" t="str">
        <f>VLOOKUP(A123,budget!$A$5:$I$337,4,FALSE)</f>
        <v>자연경관/자유관광지</v>
      </c>
      <c r="J123" t="str">
        <f>VLOOKUP(A123,budget!$A$5:$I$337,5,FALSE)</f>
        <v>24시간 연중무휴 (자유 방문)</v>
      </c>
      <c r="K123">
        <f>VLOOKUP(B123,api!$A$2:$R$334,14,FALSE)</f>
        <v>0</v>
      </c>
      <c r="L123" t="str">
        <f>VLOOKUP(B123,api!$A$2:$R$334,4,FALSE)</f>
        <v>http://sodolpark.co.kr/</v>
      </c>
      <c r="M123">
        <f>VLOOKUP(B123,api!$A$2:$R$334,5,FALSE)</f>
        <v>4.3</v>
      </c>
      <c r="N123">
        <f>VLOOKUP(B123,api!$A$2:$R$334,6,FALSE)</f>
        <v>62</v>
      </c>
      <c r="O123">
        <f>VLOOKUP(B123,api!$A$2:$R$334,7,FALSE)</f>
        <v>162</v>
      </c>
      <c r="P123">
        <f>VLOOKUP(A123,budget!$A$5:$I$337,6,FALSE)</f>
        <v>0</v>
      </c>
      <c r="Q123">
        <f>VLOOKUP(A123,budget!$A$5:$I$337,7,FALSE)</f>
        <v>0</v>
      </c>
      <c r="R123" t="str">
        <f>VLOOKUP(A123,budget!$A$5:$I$337,8,FALSE)</f>
        <v>상시 무료 관람 (식음료 및 개인소모품비 제외)</v>
      </c>
      <c r="S123" t="str">
        <f>VLOOKUP(A123,budget!$A$5:$I$337,9,FALSE)</f>
        <v>http://place.map.kakao.com/8416134</v>
      </c>
      <c r="T123">
        <f>VLOOKUP(B123,api!$A$2:$R$334,17,FALSE)</f>
        <v>128.83027717812499</v>
      </c>
      <c r="U123">
        <f>VLOOKUP(B123,api!$A$2:$R$334,18,FALSE)</f>
        <v>37.905957845062098</v>
      </c>
    </row>
    <row r="124" spans="1:21" x14ac:dyDescent="0.3">
      <c r="A124">
        <v>2115731103</v>
      </c>
      <c r="B124" t="s">
        <v>122</v>
      </c>
      <c r="C124" t="str">
        <f>VLOOKUP(A124,budget!$A$5:$I$337,3,FALSE)</f>
        <v>아르떼뮤지엄 강릉</v>
      </c>
      <c r="D124" t="str">
        <f>VLOOKUP(B124,api!$A$2:$R$334,2,FALSE)</f>
        <v>강릉시</v>
      </c>
      <c r="E124" t="str">
        <f>VLOOKUP(B124,api!$A$2:$R$334,12,FALSE)</f>
        <v>강원특별자치도 강릉시 초당동 505</v>
      </c>
      <c r="F124" t="s">
        <v>226</v>
      </c>
      <c r="G124" t="str">
        <f>VLOOKUP(A124,budget!$A$5:$I$337,4,FALSE)</f>
        <v>테마파크/민간관광지</v>
      </c>
      <c r="H124" t="s">
        <v>792</v>
      </c>
      <c r="I124" t="s">
        <v>793</v>
      </c>
      <c r="J124" t="str">
        <f>VLOOKUP(A124,budget!$A$5:$I$337,5,FALSE)</f>
        <v>10:00 - 20:00 (입장마감 19:00)</v>
      </c>
      <c r="K124" t="str">
        <f>VLOOKUP(B124,api!$A$2:$R$334,14,FALSE)</f>
        <v>1899-5008</v>
      </c>
      <c r="L124" t="str">
        <f>VLOOKUP(B124,api!$A$2:$R$334,4,FALSE)</f>
        <v>https://artemuseum.com/</v>
      </c>
      <c r="M124">
        <f>VLOOKUP(B124,api!$A$2:$R$334,5,FALSE)</f>
        <v>3.8</v>
      </c>
      <c r="N124">
        <f>VLOOKUP(B124,api!$A$2:$R$334,6,FALSE)</f>
        <v>282</v>
      </c>
      <c r="O124">
        <f>VLOOKUP(B124,api!$A$2:$R$334,7,FALSE)</f>
        <v>1644</v>
      </c>
      <c r="P124">
        <f>VLOOKUP(A124,budget!$A$5:$I$337,6,FALSE)</f>
        <v>8000</v>
      </c>
      <c r="Q124">
        <f>VLOOKUP(A124,budget!$A$5:$I$337,7,FALSE)</f>
        <v>20000</v>
      </c>
      <c r="R124" t="str">
        <f>VLOOKUP(A124,budget!$A$5:$I$337,8,FALSE)</f>
        <v>대인 정상 입장료 기준 (할인혜택/통합권 따라 변동)</v>
      </c>
      <c r="S124" t="str">
        <f>VLOOKUP(A124,budget!$A$5:$I$337,9,FALSE)</f>
        <v>http://place.map.kakao.com/2115731103</v>
      </c>
      <c r="T124">
        <f>VLOOKUP(B124,api!$A$2:$R$334,17,FALSE)</f>
        <v>128.90753392582999</v>
      </c>
      <c r="U124">
        <f>VLOOKUP(B124,api!$A$2:$R$334,18,FALSE)</f>
        <v>37.791698395443397</v>
      </c>
    </row>
    <row r="125" spans="1:21" x14ac:dyDescent="0.3">
      <c r="A125">
        <v>7990660</v>
      </c>
      <c r="B125" t="s">
        <v>123</v>
      </c>
      <c r="C125" t="str">
        <f>VLOOKUP(A125,budget!$A$5:$I$337,3,FALSE)</f>
        <v>아야진해수욕장</v>
      </c>
      <c r="D125" t="str">
        <f>VLOOKUP(B125,api!$A$2:$R$334,2,FALSE)</f>
        <v>고성군</v>
      </c>
      <c r="E125" t="str">
        <f>VLOOKUP(B125,api!$A$2:$R$334,12,FALSE)</f>
        <v>강원특별자치도 고성군 토성면 아야진리</v>
      </c>
      <c r="F125" t="s">
        <v>226</v>
      </c>
      <c r="G125" t="str">
        <f>VLOOKUP(A125,budget!$A$5:$I$337,4,FALSE)</f>
        <v>자연경관/자유관광지</v>
      </c>
      <c r="H125" t="s">
        <v>799</v>
      </c>
      <c r="I125" t="s">
        <v>800</v>
      </c>
      <c r="J125" t="str">
        <f>VLOOKUP(A125,budget!$A$5:$I$337,5,FALSE)</f>
        <v>24시간 연중무휴 (자유 방문)</v>
      </c>
      <c r="K125">
        <f>VLOOKUP(B125,api!$A$2:$R$334,14,FALSE)</f>
        <v>0</v>
      </c>
      <c r="L125" t="str">
        <f>VLOOKUP(B125,api!$A$2:$R$334,4,FALSE)</f>
        <v>http://www.ayajinbeach.co.kr/</v>
      </c>
      <c r="M125">
        <f>VLOOKUP(B125,api!$A$2:$R$334,5,FALSE)</f>
        <v>4.2</v>
      </c>
      <c r="N125">
        <f>VLOOKUP(B125,api!$A$2:$R$334,6,FALSE)</f>
        <v>141</v>
      </c>
      <c r="O125">
        <f>VLOOKUP(B125,api!$A$2:$R$334,7,FALSE)</f>
        <v>298</v>
      </c>
      <c r="P125">
        <f>VLOOKUP(A125,budget!$A$5:$I$337,6,FALSE)</f>
        <v>0</v>
      </c>
      <c r="Q125">
        <f>VLOOKUP(A125,budget!$A$5:$I$337,7,FALSE)</f>
        <v>0</v>
      </c>
      <c r="R125" t="str">
        <f>VLOOKUP(A125,budget!$A$5:$I$337,8,FALSE)</f>
        <v>상시 무료 관람 (식음료 및 개인소모품비 제외)</v>
      </c>
      <c r="S125" t="str">
        <f>VLOOKUP(A125,budget!$A$5:$I$337,9,FALSE)</f>
        <v>http://place.map.kakao.com/7990660</v>
      </c>
      <c r="T125">
        <f>VLOOKUP(B125,api!$A$2:$R$334,17,FALSE)</f>
        <v>128.553373007462</v>
      </c>
      <c r="U125">
        <f>VLOOKUP(B125,api!$A$2:$R$334,18,FALSE)</f>
        <v>38.276835012630698</v>
      </c>
    </row>
    <row r="126" spans="1:21" x14ac:dyDescent="0.3">
      <c r="A126">
        <v>1170610387</v>
      </c>
      <c r="B126" t="s">
        <v>124</v>
      </c>
      <c r="C126" t="str">
        <f>VLOOKUP(A126,budget!$A$5:$I$337,3,FALSE)</f>
        <v>안흥찐빵모락모락마을</v>
      </c>
      <c r="D126" t="str">
        <f>VLOOKUP(B126,api!$A$2:$R$334,2,FALSE)</f>
        <v>횡성군</v>
      </c>
      <c r="E126" t="str">
        <f>VLOOKUP(B126,api!$A$2:$R$334,12,FALSE)</f>
        <v>강원특별자치도 횡성군 안흥면 안흥리 1063</v>
      </c>
      <c r="F126" t="s">
        <v>226</v>
      </c>
      <c r="G126" t="str">
        <f>VLOOKUP(A126,budget!$A$5:$I$337,4,FALSE)</f>
        <v>자연경관/자유관광지</v>
      </c>
      <c r="J126" t="str">
        <f>VLOOKUP(A126,budget!$A$5:$I$337,5,FALSE)</f>
        <v>상시 개방</v>
      </c>
      <c r="K126" t="str">
        <f>VLOOKUP(B126,api!$A$2:$R$334,14,FALSE)</f>
        <v>033-344-5990</v>
      </c>
      <c r="L126" t="str">
        <f>VLOOKUP(B126,api!$A$2:$R$334,4,FALSE)</f>
        <v>https://www.hsg.go.kr/tour/contents.do?key=1362</v>
      </c>
      <c r="M126">
        <f>VLOOKUP(B126,api!$A$2:$R$334,5,FALSE)</f>
        <v>4.5999999999999996</v>
      </c>
      <c r="N126">
        <f>VLOOKUP(B126,api!$A$2:$R$334,6,FALSE)</f>
        <v>12</v>
      </c>
      <c r="O126">
        <f>VLOOKUP(B126,api!$A$2:$R$334,7,FALSE)</f>
        <v>235</v>
      </c>
      <c r="P126">
        <f>VLOOKUP(A126,budget!$A$5:$I$337,6,FALSE)</f>
        <v>0</v>
      </c>
      <c r="Q126">
        <f>VLOOKUP(A126,budget!$A$5:$I$337,7,FALSE)</f>
        <v>0</v>
      </c>
      <c r="R126" t="str">
        <f>VLOOKUP(A126,budget!$A$5:$I$337,8,FALSE)</f>
        <v>상시 무료 관람 (식음료 및 개인소모품비 제외)</v>
      </c>
      <c r="S126" t="str">
        <f>VLOOKUP(A126,budget!$A$5:$I$337,9,FALSE)</f>
        <v>http://place.map.kakao.com/1170610387</v>
      </c>
      <c r="T126">
        <f>VLOOKUP(B126,api!$A$2:$R$334,17,FALSE)</f>
        <v>128.155566586296</v>
      </c>
      <c r="U126">
        <f>VLOOKUP(B126,api!$A$2:$R$334,18,FALSE)</f>
        <v>37.409659683361802</v>
      </c>
    </row>
    <row r="127" spans="1:21" x14ac:dyDescent="0.3">
      <c r="A127">
        <v>1308332525</v>
      </c>
      <c r="B127" t="s">
        <v>125</v>
      </c>
      <c r="C127" t="str">
        <f>VLOOKUP(A127,budget!$A$5:$I$337,3,FALSE)</f>
        <v>알파카월드</v>
      </c>
      <c r="D127" t="str">
        <f>VLOOKUP(B127,api!$A$2:$R$334,2,FALSE)</f>
        <v>홍천군</v>
      </c>
      <c r="E127" t="str">
        <f>VLOOKUP(B127,api!$A$2:$R$334,12,FALSE)</f>
        <v>강원특별자치도 홍천군 화촌면 풍천리 산 53-2</v>
      </c>
      <c r="F127" t="s">
        <v>226</v>
      </c>
      <c r="G127" t="str">
        <f>VLOOKUP(A127,budget!$A$5:$I$337,4,FALSE)</f>
        <v>테마파크/민간관광지</v>
      </c>
      <c r="H127" t="s">
        <v>799</v>
      </c>
      <c r="I127" t="s">
        <v>800</v>
      </c>
      <c r="J127" t="str">
        <f>VLOOKUP(A127,budget!$A$5:$I$337,5,FALSE)</f>
        <v>10:00 - 18:00 (입장마감 16:30)</v>
      </c>
      <c r="K127" t="str">
        <f>VLOOKUP(B127,api!$A$2:$R$334,14,FALSE)</f>
        <v>1899-2250</v>
      </c>
      <c r="L127" t="str">
        <f>VLOOKUP(B127,api!$A$2:$R$334,4,FALSE)</f>
        <v>https://www.alpacaworld.co.kr/</v>
      </c>
      <c r="M127">
        <f>VLOOKUP(B127,api!$A$2:$R$334,5,FALSE)</f>
        <v>0</v>
      </c>
      <c r="N127">
        <f>VLOOKUP(B127,api!$A$2:$R$334,6,FALSE)</f>
        <v>0</v>
      </c>
      <c r="O127">
        <f>VLOOKUP(B127,api!$A$2:$R$334,7,FALSE)</f>
        <v>0</v>
      </c>
      <c r="P127">
        <f>VLOOKUP(A127,budget!$A$5:$I$337,6,FALSE)</f>
        <v>8000</v>
      </c>
      <c r="Q127">
        <f>VLOOKUP(A127,budget!$A$5:$I$337,7,FALSE)</f>
        <v>20000</v>
      </c>
      <c r="R127" t="str">
        <f>VLOOKUP(A127,budget!$A$5:$I$337,8,FALSE)</f>
        <v>대인 정상 입장료 기준 (할인혜택/통합권 따라 변동)</v>
      </c>
      <c r="S127" t="str">
        <f>VLOOKUP(A127,budget!$A$5:$I$337,9,FALSE)</f>
        <v>http://place.map.kakao.com/1308332525</v>
      </c>
      <c r="T127">
        <f>VLOOKUP(B127,api!$A$2:$R$334,17,FALSE)</f>
        <v>127.883736123783</v>
      </c>
      <c r="U127">
        <f>VLOOKUP(B127,api!$A$2:$R$334,18,FALSE)</f>
        <v>37.827649644186103</v>
      </c>
    </row>
    <row r="128" spans="1:21" x14ac:dyDescent="0.3">
      <c r="A128">
        <v>17573656</v>
      </c>
      <c r="B128" t="s">
        <v>126</v>
      </c>
      <c r="C128" t="str">
        <f>VLOOKUP(A128,budget!$A$5:$I$337,3,FALSE)</f>
        <v>알펜시아 스키점프센터</v>
      </c>
      <c r="D128" t="str">
        <f>VLOOKUP(B128,api!$A$2:$R$334,2,FALSE)</f>
        <v>평창군</v>
      </c>
      <c r="E128" t="str">
        <f>VLOOKUP(B128,api!$A$2:$R$334,12,FALSE)</f>
        <v>강원특별자치도 평창군 대관령면 수하리 240-19</v>
      </c>
      <c r="F128" t="s">
        <v>226</v>
      </c>
      <c r="G128" t="str">
        <f>VLOOKUP(A128,budget!$A$5:$I$337,4,FALSE)</f>
        <v>자연경관/자유관광지</v>
      </c>
      <c r="J128" t="str">
        <f>VLOOKUP(A128,budget!$A$5:$I$337,5,FALSE)</f>
        <v>상시 개방</v>
      </c>
      <c r="K128">
        <f>VLOOKUP(B128,api!$A$2:$R$334,14,FALSE)</f>
        <v>0</v>
      </c>
      <c r="L128" t="str">
        <f>VLOOKUP(B128,api!$A$2:$R$334,4,FALSE)</f>
        <v>https://www.alpensia.com/main.do</v>
      </c>
      <c r="M128">
        <f>VLOOKUP(B128,api!$A$2:$R$334,5,FALSE)</f>
        <v>4</v>
      </c>
      <c r="N128">
        <f>VLOOKUP(B128,api!$A$2:$R$334,6,FALSE)</f>
        <v>10</v>
      </c>
      <c r="O128">
        <f>VLOOKUP(B128,api!$A$2:$R$334,7,FALSE)</f>
        <v>51</v>
      </c>
      <c r="P128">
        <f>VLOOKUP(A128,budget!$A$5:$I$337,6,FALSE)</f>
        <v>0</v>
      </c>
      <c r="Q128">
        <f>VLOOKUP(A128,budget!$A$5:$I$337,7,FALSE)</f>
        <v>0</v>
      </c>
      <c r="R128" t="str">
        <f>VLOOKUP(A128,budget!$A$5:$I$337,8,FALSE)</f>
        <v>상시 무료 관람 (식음료 및 개인소모품비 제외)</v>
      </c>
      <c r="S128" t="str">
        <f>VLOOKUP(A128,budget!$A$5:$I$337,9,FALSE)</f>
        <v>http://place.map.kakao.com/17573656</v>
      </c>
      <c r="T128">
        <f>VLOOKUP(B128,api!$A$2:$R$334,17,FALSE)</f>
        <v>128.68238125103699</v>
      </c>
      <c r="U128">
        <f>VLOOKUP(B128,api!$A$2:$R$334,18,FALSE)</f>
        <v>37.663395093058902</v>
      </c>
    </row>
    <row r="129" spans="1:21" x14ac:dyDescent="0.3">
      <c r="A129">
        <v>20126918</v>
      </c>
      <c r="B129" t="s">
        <v>127</v>
      </c>
      <c r="C129" t="str">
        <f>VLOOKUP(A129,budget!$A$5:$I$337,3,FALSE)</f>
        <v>양구백자박물관</v>
      </c>
      <c r="D129" t="str">
        <f>VLOOKUP(B129,api!$A$2:$R$334,2,FALSE)</f>
        <v>양구군</v>
      </c>
      <c r="E129" t="str">
        <f>VLOOKUP(B129,api!$A$2:$R$334,12,FALSE)</f>
        <v>강원특별자치도 양구군 방산면 장평리 344</v>
      </c>
      <c r="F129" t="s">
        <v>225</v>
      </c>
      <c r="G129" t="str">
        <f>VLOOKUP(A129,budget!$A$5:$I$337,4,FALSE)</f>
        <v>문화/전람/동굴/전망시설</v>
      </c>
      <c r="H129" t="s">
        <v>792</v>
      </c>
      <c r="I129" t="s">
        <v>793</v>
      </c>
      <c r="J129" t="str">
        <f>VLOOKUP(A129,budget!$A$5:$I$337,5,FALSE)</f>
        <v>09:00 - 18:00 (입장마감 17:00, 월요일 휴무)</v>
      </c>
      <c r="K129" t="str">
        <f>VLOOKUP(B129,api!$A$2:$R$334,14,FALSE)</f>
        <v>033-480-7238</v>
      </c>
      <c r="L129" t="str">
        <f>VLOOKUP(B129,api!$A$2:$R$334,4,FALSE)</f>
        <v>http://www.yanggum.or.kr/</v>
      </c>
      <c r="M129">
        <f>VLOOKUP(B129,api!$A$2:$R$334,5,FALSE)</f>
        <v>4.5</v>
      </c>
      <c r="N129">
        <f>VLOOKUP(B129,api!$A$2:$R$334,6,FALSE)</f>
        <v>13</v>
      </c>
      <c r="O129">
        <f>VLOOKUP(B129,api!$A$2:$R$334,7,FALSE)</f>
        <v>120</v>
      </c>
      <c r="P129">
        <f>VLOOKUP(A129,budget!$A$5:$I$337,6,FALSE)</f>
        <v>2000</v>
      </c>
      <c r="Q129">
        <f>VLOOKUP(A129,budget!$A$5:$I$337,7,FALSE)</f>
        <v>10000</v>
      </c>
      <c r="R129" t="str">
        <f>VLOOKUP(A129,budget!$A$5:$I$337,8,FALSE)</f>
        <v>대인 관람료 및 전망대/스카이워크 이용료 기준</v>
      </c>
      <c r="S129" t="str">
        <f>VLOOKUP(A129,budget!$A$5:$I$337,9,FALSE)</f>
        <v>http://place.map.kakao.com/20126918</v>
      </c>
      <c r="T129">
        <f>VLOOKUP(B129,api!$A$2:$R$334,17,FALSE)</f>
        <v>127.951683740524</v>
      </c>
      <c r="U129">
        <f>VLOOKUP(B129,api!$A$2:$R$334,18,FALSE)</f>
        <v>38.207464286682601</v>
      </c>
    </row>
    <row r="130" spans="1:21" x14ac:dyDescent="0.3">
      <c r="A130">
        <v>11107311</v>
      </c>
      <c r="B130" t="s">
        <v>128</v>
      </c>
      <c r="C130" t="str">
        <f>VLOOKUP(A130,budget!$A$5:$I$337,3,FALSE)</f>
        <v>양구선사박물관</v>
      </c>
      <c r="D130" t="str">
        <f>VLOOKUP(B130,api!$A$2:$R$334,2,FALSE)</f>
        <v>양구군</v>
      </c>
      <c r="E130" t="str">
        <f>VLOOKUP(B130,api!$A$2:$R$334,12,FALSE)</f>
        <v>강원특별자치도 양구군 양구읍 하리 510</v>
      </c>
      <c r="F130" t="s">
        <v>225</v>
      </c>
      <c r="G130" t="str">
        <f>VLOOKUP(A130,budget!$A$5:$I$337,4,FALSE)</f>
        <v>문화/전람/동굴/전망시설</v>
      </c>
      <c r="H130" t="s">
        <v>792</v>
      </c>
      <c r="I130" t="s">
        <v>793</v>
      </c>
      <c r="J130" t="str">
        <f>VLOOKUP(A130,budget!$A$5:$I$337,5,FALSE)</f>
        <v>09:00 - 18:00 (입장마감 17:00, 월요일 휴무)</v>
      </c>
      <c r="K130" t="str">
        <f>VLOOKUP(B130,api!$A$2:$R$334,14,FALSE)</f>
        <v>033-480-7221</v>
      </c>
      <c r="L130" t="str">
        <f>VLOOKUP(B130,api!$A$2:$R$334,4,FALSE)</f>
        <v>http://www.ygpm.or.kr/</v>
      </c>
      <c r="M130">
        <f>VLOOKUP(B130,api!$A$2:$R$334,5,FALSE)</f>
        <v>0</v>
      </c>
      <c r="N130">
        <f>VLOOKUP(B130,api!$A$2:$R$334,6,FALSE)</f>
        <v>0</v>
      </c>
      <c r="O130">
        <f>VLOOKUP(B130,api!$A$2:$R$334,7,FALSE)</f>
        <v>18</v>
      </c>
      <c r="P130">
        <f>VLOOKUP(A130,budget!$A$5:$I$337,6,FALSE)</f>
        <v>2000</v>
      </c>
      <c r="Q130">
        <f>VLOOKUP(A130,budget!$A$5:$I$337,7,FALSE)</f>
        <v>10000</v>
      </c>
      <c r="R130" t="str">
        <f>VLOOKUP(A130,budget!$A$5:$I$337,8,FALSE)</f>
        <v>대인 관람료 및 전망대/스카이워크 이용료 기준</v>
      </c>
      <c r="S130" t="str">
        <f>VLOOKUP(A130,budget!$A$5:$I$337,9,FALSE)</f>
        <v>http://place.map.kakao.com/11107311</v>
      </c>
      <c r="T130">
        <f>VLOOKUP(B130,api!$A$2:$R$334,17,FALSE)</f>
        <v>127.99036602099299</v>
      </c>
      <c r="U130">
        <f>VLOOKUP(B130,api!$A$2:$R$334,18,FALSE)</f>
        <v>38.123536192381103</v>
      </c>
    </row>
    <row r="131" spans="1:21" x14ac:dyDescent="0.3">
      <c r="A131">
        <v>10588483</v>
      </c>
      <c r="B131" t="s">
        <v>129</v>
      </c>
      <c r="C131" t="str">
        <f>VLOOKUP(A131,budget!$A$5:$I$337,3,FALSE)</f>
        <v>양구통일관</v>
      </c>
      <c r="D131" t="str">
        <f>VLOOKUP(B131,api!$A$2:$R$334,2,FALSE)</f>
        <v>양구군</v>
      </c>
      <c r="E131" t="str">
        <f>VLOOKUP(B131,api!$A$2:$R$334,12,FALSE)</f>
        <v>강원특별자치도 양구군 해안면 후리 622</v>
      </c>
      <c r="F131" t="s">
        <v>225</v>
      </c>
      <c r="G131" t="str">
        <f>VLOOKUP(A131,budget!$A$5:$I$337,4,FALSE)</f>
        <v>자연경관/자유관광지</v>
      </c>
      <c r="H131" t="s">
        <v>792</v>
      </c>
      <c r="I131" t="s">
        <v>793</v>
      </c>
      <c r="J131" t="str">
        <f>VLOOKUP(A131,budget!$A$5:$I$337,5,FALSE)</f>
        <v>상시 개방</v>
      </c>
      <c r="K131" t="str">
        <f>VLOOKUP(B131,api!$A$2:$R$334,14,FALSE)</f>
        <v>033-480-7251</v>
      </c>
      <c r="L131" t="str">
        <f>VLOOKUP(B131,api!$A$2:$R$334,4,FALSE)</f>
        <v>https://www.ygtour.kr/Home/index</v>
      </c>
      <c r="M131">
        <f>VLOOKUP(B131,api!$A$2:$R$334,5,FALSE)</f>
        <v>0</v>
      </c>
      <c r="N131">
        <f>VLOOKUP(B131,api!$A$2:$R$334,6,FALSE)</f>
        <v>0</v>
      </c>
      <c r="O131">
        <f>VLOOKUP(B131,api!$A$2:$R$334,7,FALSE)</f>
        <v>17</v>
      </c>
      <c r="P131">
        <f>VLOOKUP(A131,budget!$A$5:$I$337,6,FALSE)</f>
        <v>0</v>
      </c>
      <c r="Q131">
        <f>VLOOKUP(A131,budget!$A$5:$I$337,7,FALSE)</f>
        <v>0</v>
      </c>
      <c r="R131" t="str">
        <f>VLOOKUP(A131,budget!$A$5:$I$337,8,FALSE)</f>
        <v>상시 무료 관람 (식음료 및 개인소모품비 제외)</v>
      </c>
      <c r="S131" t="str">
        <f>VLOOKUP(A131,budget!$A$5:$I$337,9,FALSE)</f>
        <v>http://place.map.kakao.com/10588483</v>
      </c>
      <c r="T131">
        <f>VLOOKUP(B131,api!$A$2:$R$334,17,FALSE)</f>
        <v>128.14563852805901</v>
      </c>
      <c r="U131">
        <f>VLOOKUP(B131,api!$A$2:$R$334,18,FALSE)</f>
        <v>38.2899069650787</v>
      </c>
    </row>
    <row r="132" spans="1:21" x14ac:dyDescent="0.3">
      <c r="A132">
        <v>9250667</v>
      </c>
      <c r="B132" t="s">
        <v>130</v>
      </c>
      <c r="C132" t="str">
        <f>VLOOKUP(A132,budget!$A$5:$I$337,3,FALSE)</f>
        <v>양양전통시장</v>
      </c>
      <c r="D132" t="str">
        <f>VLOOKUP(B132,api!$A$2:$R$334,2,FALSE)</f>
        <v>양양군</v>
      </c>
      <c r="E132" t="str">
        <f>VLOOKUP(B132,api!$A$2:$R$334,12,FALSE)</f>
        <v>강원특별자치도 양양군 양양읍 남문리 57</v>
      </c>
      <c r="F132" t="s">
        <v>225</v>
      </c>
      <c r="G132" t="str">
        <f>VLOOKUP(A132,budget!$A$5:$I$337,4,FALSE)</f>
        <v>자연경관/자유관광지</v>
      </c>
      <c r="J132" t="str">
        <f>VLOOKUP(A132,budget!$A$5:$I$337,5,FALSE)</f>
        <v>24시간 연중무휴 (자유 방문)</v>
      </c>
      <c r="K132" t="str">
        <f>VLOOKUP(B132,api!$A$2:$R$334,14,FALSE)</f>
        <v>033-671-2878</v>
      </c>
      <c r="L132" t="str">
        <f>VLOOKUP(B132,api!$A$2:$R$334,4,FALSE)</f>
        <v>https://unhee01.modoo.at/</v>
      </c>
      <c r="M132">
        <f>VLOOKUP(B132,api!$A$2:$R$334,5,FALSE)</f>
        <v>3.5</v>
      </c>
      <c r="N132">
        <f>VLOOKUP(B132,api!$A$2:$R$334,6,FALSE)</f>
        <v>59</v>
      </c>
      <c r="O132">
        <f>VLOOKUP(B132,api!$A$2:$R$334,7,FALSE)</f>
        <v>83</v>
      </c>
      <c r="P132">
        <f>VLOOKUP(A132,budget!$A$5:$I$337,6,FALSE)</f>
        <v>0</v>
      </c>
      <c r="Q132">
        <f>VLOOKUP(A132,budget!$A$5:$I$337,7,FALSE)</f>
        <v>0</v>
      </c>
      <c r="R132" t="str">
        <f>VLOOKUP(A132,budget!$A$5:$I$337,8,FALSE)</f>
        <v>상시 무료 관람 (식음료 및 개인소모품비 제외)</v>
      </c>
      <c r="S132" t="str">
        <f>VLOOKUP(A132,budget!$A$5:$I$337,9,FALSE)</f>
        <v>http://place.map.kakao.com/9250667</v>
      </c>
      <c r="T132">
        <f>VLOOKUP(B132,api!$A$2:$R$334,17,FALSE)</f>
        <v>128.623185400604</v>
      </c>
      <c r="U132">
        <f>VLOOKUP(B132,api!$A$2:$R$334,18,FALSE)</f>
        <v>38.075029337811301</v>
      </c>
    </row>
    <row r="133" spans="1:21" x14ac:dyDescent="0.3">
      <c r="A133">
        <v>27351432</v>
      </c>
      <c r="B133" t="s">
        <v>131</v>
      </c>
      <c r="C133" t="str">
        <f>VLOOKUP(A133,budget!$A$5:$I$337,3,FALSE)</f>
        <v>얼라이브하트 속초점</v>
      </c>
      <c r="D133" t="str">
        <f>VLOOKUP(B133,api!$A$2:$R$334,2,FALSE)</f>
        <v>속초시</v>
      </c>
      <c r="E133" t="str">
        <f>VLOOKUP(B133,api!$A$2:$R$334,12,FALSE)</f>
        <v>강원특별자치도 속초시 노학동 1069-2</v>
      </c>
      <c r="F133" t="s">
        <v>226</v>
      </c>
      <c r="G133" t="str">
        <f>VLOOKUP(A133,budget!$A$5:$I$337,4,FALSE)</f>
        <v>테마파크/민간관광지</v>
      </c>
      <c r="H133" t="s">
        <v>799</v>
      </c>
      <c r="I133" t="s">
        <v>800</v>
      </c>
      <c r="J133" t="str">
        <f>VLOOKUP(A133,budget!$A$5:$I$337,5,FALSE)</f>
        <v>10:00 - 18:00 (연중무휴/입장마감 17:00)</v>
      </c>
      <c r="K133" t="str">
        <f>VLOOKUP(B133,api!$A$2:$R$334,14,FALSE)</f>
        <v>033-633-2004</v>
      </c>
      <c r="L133" t="str">
        <f>VLOOKUP(B133,api!$A$2:$R$334,4,FALSE)</f>
        <v>https://www.instagram.com/aliveheart_sokcho/</v>
      </c>
      <c r="M133">
        <f>VLOOKUP(B133,api!$A$2:$R$334,5,FALSE)</f>
        <v>3.7</v>
      </c>
      <c r="N133">
        <f>VLOOKUP(B133,api!$A$2:$R$334,6,FALSE)</f>
        <v>15</v>
      </c>
      <c r="O133">
        <f>VLOOKUP(B133,api!$A$2:$R$334,7,FALSE)</f>
        <v>75</v>
      </c>
      <c r="P133">
        <f>VLOOKUP(A133,budget!$A$5:$I$337,6,FALSE)</f>
        <v>8000</v>
      </c>
      <c r="Q133">
        <f>VLOOKUP(A133,budget!$A$5:$I$337,7,FALSE)</f>
        <v>20000</v>
      </c>
      <c r="R133" t="str">
        <f>VLOOKUP(A133,budget!$A$5:$I$337,8,FALSE)</f>
        <v>대인 정상 입장료 기준 (할인혜택/통합권 따라 변동)</v>
      </c>
      <c r="S133" t="str">
        <f>VLOOKUP(A133,budget!$A$5:$I$337,9,FALSE)</f>
        <v>http://place.map.kakao.com/27351432</v>
      </c>
      <c r="T133">
        <f>VLOOKUP(B133,api!$A$2:$R$334,17,FALSE)</f>
        <v>128.51738399595499</v>
      </c>
      <c r="U133">
        <f>VLOOKUP(B133,api!$A$2:$R$334,18,FALSE)</f>
        <v>38.205550522686899</v>
      </c>
    </row>
    <row r="134" spans="1:21" x14ac:dyDescent="0.3">
      <c r="A134">
        <v>25070174</v>
      </c>
      <c r="B134" t="s">
        <v>132</v>
      </c>
      <c r="C134" t="str">
        <f>VLOOKUP(A134,budget!$A$5:$I$337,3,FALSE)</f>
        <v>엘리시안 강촌CC</v>
      </c>
      <c r="D134" t="str">
        <f>VLOOKUP(B134,api!$A$2:$R$334,2,FALSE)</f>
        <v>춘천시</v>
      </c>
      <c r="E134" t="str">
        <f>VLOOKUP(B134,api!$A$2:$R$334,12,FALSE)</f>
        <v>강원특별자치도 춘천시 남산면 백양리 29-1</v>
      </c>
      <c r="F134" t="s">
        <v>226</v>
      </c>
      <c r="G134" t="str">
        <f>VLOOKUP(A134,budget!$A$5:$I$337,4,FALSE)</f>
        <v>자연경관/자유관광지</v>
      </c>
      <c r="J134" t="str">
        <f>VLOOKUP(A134,budget!$A$5:$I$337,5,FALSE)</f>
        <v>상시 개방</v>
      </c>
      <c r="K134" t="str">
        <f>VLOOKUP(B134,api!$A$2:$R$334,14,FALSE)</f>
        <v>033-260-2000</v>
      </c>
      <c r="L134" t="str">
        <f>VLOOKUP(B134,api!$A$2:$R$334,4,FALSE)</f>
        <v>https://www.elysian.co.kr/</v>
      </c>
      <c r="M134">
        <f>VLOOKUP(B134,api!$A$2:$R$334,5,FALSE)</f>
        <v>3.5</v>
      </c>
      <c r="N134">
        <f>VLOOKUP(B134,api!$A$2:$R$334,6,FALSE)</f>
        <v>16</v>
      </c>
      <c r="O134">
        <f>VLOOKUP(B134,api!$A$2:$R$334,7,FALSE)</f>
        <v>223</v>
      </c>
      <c r="P134">
        <f>VLOOKUP(A134,budget!$A$5:$I$337,6,FALSE)</f>
        <v>0</v>
      </c>
      <c r="Q134">
        <f>VLOOKUP(A134,budget!$A$5:$I$337,7,FALSE)</f>
        <v>0</v>
      </c>
      <c r="R134" t="str">
        <f>VLOOKUP(A134,budget!$A$5:$I$337,8,FALSE)</f>
        <v>상시 무료 관람 (식음료 및 개인소모품비 제외)</v>
      </c>
      <c r="S134" t="str">
        <f>VLOOKUP(A134,budget!$A$5:$I$337,9,FALSE)</f>
        <v>http://place.map.kakao.com/25070174</v>
      </c>
      <c r="T134">
        <f>VLOOKUP(B134,api!$A$2:$R$334,17,FALSE)</f>
        <v>127.578574960756</v>
      </c>
      <c r="U134">
        <f>VLOOKUP(B134,api!$A$2:$R$334,18,FALSE)</f>
        <v>37.829949511280297</v>
      </c>
    </row>
    <row r="135" spans="1:21" x14ac:dyDescent="0.3">
      <c r="A135">
        <v>1907965556</v>
      </c>
      <c r="B135" t="s">
        <v>133</v>
      </c>
      <c r="C135" t="str">
        <f>VLOOKUP(A135,budget!$A$5:$I$337,3,FALSE)</f>
        <v>연꽃단지</v>
      </c>
      <c r="D135" t="str">
        <f>VLOOKUP(B135,api!$A$2:$R$334,2,FALSE)</f>
        <v>화천군</v>
      </c>
      <c r="E135" t="str">
        <f>VLOOKUP(B135,api!$A$2:$R$334,12,FALSE)</f>
        <v>부산 북구 덕천동 763</v>
      </c>
      <c r="F135" t="s">
        <v>226</v>
      </c>
      <c r="G135" t="str">
        <f>VLOOKUP(A135,budget!$A$5:$I$337,4,FALSE)</f>
        <v>자연경관/자유관광지</v>
      </c>
      <c r="J135" t="str">
        <f>VLOOKUP(A135,budget!$A$5:$I$337,5,FALSE)</f>
        <v>상시 개방</v>
      </c>
      <c r="K135">
        <f>VLOOKUP(B135,api!$A$2:$R$334,14,FALSE)</f>
        <v>0</v>
      </c>
      <c r="L135">
        <f>VLOOKUP(B135,api!$A$2:$R$334,4,FALSE)</f>
        <v>0</v>
      </c>
      <c r="M135">
        <f>VLOOKUP(B135,api!$A$2:$R$334,5,FALSE)</f>
        <v>2.5</v>
      </c>
      <c r="N135">
        <f>VLOOKUP(B135,api!$A$2:$R$334,6,FALSE)</f>
        <v>4</v>
      </c>
      <c r="O135">
        <f>VLOOKUP(B135,api!$A$2:$R$334,7,FALSE)</f>
        <v>13</v>
      </c>
      <c r="P135">
        <f>VLOOKUP(A135,budget!$A$5:$I$337,6,FALSE)</f>
        <v>0</v>
      </c>
      <c r="Q135">
        <f>VLOOKUP(A135,budget!$A$5:$I$337,7,FALSE)</f>
        <v>0</v>
      </c>
      <c r="R135" t="str">
        <f>VLOOKUP(A135,budget!$A$5:$I$337,8,FALSE)</f>
        <v>상시 무료 관람 (식음료 및 개인소모품비 제외)</v>
      </c>
      <c r="S135" t="str">
        <f>VLOOKUP(A135,budget!$A$5:$I$337,9,FALSE)</f>
        <v>http://place.map.kakao.com/1907965556</v>
      </c>
      <c r="T135">
        <f>VLOOKUP(B135,api!$A$2:$R$334,17,FALSE)</f>
        <v>128.99977852675701</v>
      </c>
      <c r="U135">
        <f>VLOOKUP(B135,api!$A$2:$R$334,18,FALSE)</f>
        <v>35.214023267815698</v>
      </c>
    </row>
    <row r="136" spans="1:21" x14ac:dyDescent="0.3">
      <c r="A136">
        <v>73062215</v>
      </c>
      <c r="B136" t="s">
        <v>134</v>
      </c>
      <c r="C136" t="str">
        <f>VLOOKUP(A136,budget!$A$5:$I$337,3,FALSE)</f>
        <v>연필뮤지엄</v>
      </c>
      <c r="D136" t="str">
        <f>VLOOKUP(B136,api!$A$2:$R$334,2,FALSE)</f>
        <v>동해시</v>
      </c>
      <c r="E136" t="str">
        <f>VLOOKUP(B136,api!$A$2:$R$334,12,FALSE)</f>
        <v>강원특별자치도 동해시 발한동 240-20</v>
      </c>
      <c r="F136" t="s">
        <v>225</v>
      </c>
      <c r="G136" t="str">
        <f>VLOOKUP(A136,budget!$A$5:$I$337,4,FALSE)</f>
        <v>자연경관/자유관광지</v>
      </c>
      <c r="H136" t="s">
        <v>792</v>
      </c>
      <c r="I136" t="s">
        <v>793</v>
      </c>
      <c r="J136" t="str">
        <f>VLOOKUP(A136,budget!$A$5:$I$337,5,FALSE)</f>
        <v>상시 개방</v>
      </c>
      <c r="K136" t="str">
        <f>VLOOKUP(B136,api!$A$2:$R$334,14,FALSE)</f>
        <v>033-532-1010</v>
      </c>
      <c r="L136" t="str">
        <f>VLOOKUP(B136,api!$A$2:$R$334,4,FALSE)</f>
        <v>https://www.pencilmuseum.co.kr/</v>
      </c>
      <c r="M136">
        <f>VLOOKUP(B136,api!$A$2:$R$334,5,FALSE)</f>
        <v>3.2</v>
      </c>
      <c r="N136">
        <f>VLOOKUP(B136,api!$A$2:$R$334,6,FALSE)</f>
        <v>36</v>
      </c>
      <c r="O136">
        <f>VLOOKUP(B136,api!$A$2:$R$334,7,FALSE)</f>
        <v>129</v>
      </c>
      <c r="P136">
        <f>VLOOKUP(A136,budget!$A$5:$I$337,6,FALSE)</f>
        <v>0</v>
      </c>
      <c r="Q136">
        <f>VLOOKUP(A136,budget!$A$5:$I$337,7,FALSE)</f>
        <v>0</v>
      </c>
      <c r="R136" t="str">
        <f>VLOOKUP(A136,budget!$A$5:$I$337,8,FALSE)</f>
        <v>상시 무료 관람 (식음료 및 개인소모품비 제외)</v>
      </c>
      <c r="S136" t="str">
        <f>VLOOKUP(A136,budget!$A$5:$I$337,9,FALSE)</f>
        <v>http://place.map.kakao.com/73062215</v>
      </c>
      <c r="T136">
        <f>VLOOKUP(B136,api!$A$2:$R$334,17,FALSE)</f>
        <v>129.10635268119799</v>
      </c>
      <c r="U136">
        <f>VLOOKUP(B136,api!$A$2:$R$334,18,FALSE)</f>
        <v>37.547505512316199</v>
      </c>
    </row>
    <row r="137" spans="1:21" x14ac:dyDescent="0.3">
      <c r="A137">
        <v>8008145</v>
      </c>
      <c r="B137" t="s">
        <v>135</v>
      </c>
      <c r="C137" t="str">
        <f>VLOOKUP(A137,budget!$A$5:$I$337,3,FALSE)</f>
        <v>영랑호</v>
      </c>
      <c r="D137" t="str">
        <f>VLOOKUP(B137,api!$A$2:$R$334,2,FALSE)</f>
        <v>속초시</v>
      </c>
      <c r="E137" t="str">
        <f>VLOOKUP(B137,api!$A$2:$R$334,12,FALSE)</f>
        <v>강원특별자치도 속초시 장사동 산 313-1</v>
      </c>
      <c r="F137" t="s">
        <v>226</v>
      </c>
      <c r="G137" t="str">
        <f>VLOOKUP(A137,budget!$A$5:$I$337,4,FALSE)</f>
        <v>자연경관/자유관광지</v>
      </c>
      <c r="H137" t="s">
        <v>799</v>
      </c>
      <c r="I137" t="s">
        <v>800</v>
      </c>
      <c r="J137" t="str">
        <f>VLOOKUP(A137,budget!$A$5:$I$337,5,FALSE)</f>
        <v>상시 개방</v>
      </c>
      <c r="K137">
        <f>VLOOKUP(B137,api!$A$2:$R$334,14,FALSE)</f>
        <v>0</v>
      </c>
      <c r="L137" t="str">
        <f>VLOOKUP(B137,api!$A$2:$R$334,4,FALSE)</f>
        <v>http://yeongrang-lake.co.kr/</v>
      </c>
      <c r="M137">
        <f>VLOOKUP(B137,api!$A$2:$R$334,5,FALSE)</f>
        <v>4.5999999999999996</v>
      </c>
      <c r="N137">
        <f>VLOOKUP(B137,api!$A$2:$R$334,6,FALSE)</f>
        <v>92</v>
      </c>
      <c r="O137">
        <f>VLOOKUP(B137,api!$A$2:$R$334,7,FALSE)</f>
        <v>239</v>
      </c>
      <c r="P137">
        <f>VLOOKUP(A137,budget!$A$5:$I$337,6,FALSE)</f>
        <v>0</v>
      </c>
      <c r="Q137">
        <f>VLOOKUP(A137,budget!$A$5:$I$337,7,FALSE)</f>
        <v>0</v>
      </c>
      <c r="R137" t="str">
        <f>VLOOKUP(A137,budget!$A$5:$I$337,8,FALSE)</f>
        <v>상시 무료 관람 (식음료 및 개인소모품비 제외)</v>
      </c>
      <c r="S137" t="str">
        <f>VLOOKUP(A137,budget!$A$5:$I$337,9,FALSE)</f>
        <v>http://place.map.kakao.com/8008145</v>
      </c>
      <c r="T137">
        <f>VLOOKUP(B137,api!$A$2:$R$334,17,FALSE)</f>
        <v>128.58020879143001</v>
      </c>
      <c r="U137">
        <f>VLOOKUP(B137,api!$A$2:$R$334,18,FALSE)</f>
        <v>38.217214944357799</v>
      </c>
    </row>
    <row r="138" spans="1:21" x14ac:dyDescent="0.3">
      <c r="A138">
        <v>1632792413</v>
      </c>
      <c r="B138" t="s">
        <v>136</v>
      </c>
      <c r="C138" t="str">
        <f>VLOOKUP(A138,budget!$A$5:$I$337,3,FALSE)</f>
        <v>영랑호수윗길</v>
      </c>
      <c r="D138" t="str">
        <f>VLOOKUP(B138,api!$A$2:$R$334,2,FALSE)</f>
        <v>속초시</v>
      </c>
      <c r="E138" t="str">
        <f>VLOOKUP(B138,api!$A$2:$R$334,12,FALSE)</f>
        <v>강원특별자치도 속초시 장사동 산 313-1</v>
      </c>
      <c r="F138" t="s">
        <v>226</v>
      </c>
      <c r="G138" t="str">
        <f>VLOOKUP(A138,budget!$A$5:$I$337,4,FALSE)</f>
        <v>자연경관/자유관광지</v>
      </c>
      <c r="H138" t="s">
        <v>799</v>
      </c>
      <c r="I138" t="s">
        <v>800</v>
      </c>
      <c r="J138" t="str">
        <f>VLOOKUP(A138,budget!$A$5:$I$337,5,FALSE)</f>
        <v>상시 개방</v>
      </c>
      <c r="K138">
        <f>VLOOKUP(B138,api!$A$2:$R$334,14,FALSE)</f>
        <v>0</v>
      </c>
      <c r="L138" t="str">
        <f>VLOOKUP(B138,api!$A$2:$R$334,4,FALSE)</f>
        <v>https://www.sokchotour.com/tour</v>
      </c>
      <c r="M138">
        <f>VLOOKUP(B138,api!$A$2:$R$334,5,FALSE)</f>
        <v>4.5999999999999996</v>
      </c>
      <c r="N138">
        <f>VLOOKUP(B138,api!$A$2:$R$334,6,FALSE)</f>
        <v>39</v>
      </c>
      <c r="O138">
        <f>VLOOKUP(B138,api!$A$2:$R$334,7,FALSE)</f>
        <v>68</v>
      </c>
      <c r="P138">
        <f>VLOOKUP(A138,budget!$A$5:$I$337,6,FALSE)</f>
        <v>0</v>
      </c>
      <c r="Q138">
        <f>VLOOKUP(A138,budget!$A$5:$I$337,7,FALSE)</f>
        <v>0</v>
      </c>
      <c r="R138" t="str">
        <f>VLOOKUP(A138,budget!$A$5:$I$337,8,FALSE)</f>
        <v>상시 무료 관람 (식음료 및 개인소모품비 제외)</v>
      </c>
      <c r="S138" t="str">
        <f>VLOOKUP(A138,budget!$A$5:$I$337,9,FALSE)</f>
        <v>http://place.map.kakao.com/1632792413</v>
      </c>
      <c r="T138">
        <f>VLOOKUP(B138,api!$A$2:$R$334,17,FALSE)</f>
        <v>128.57757011074199</v>
      </c>
      <c r="U138">
        <f>VLOOKUP(B138,api!$A$2:$R$334,18,FALSE)</f>
        <v>38.216899125064998</v>
      </c>
    </row>
    <row r="139" spans="1:21" x14ac:dyDescent="0.3">
      <c r="A139">
        <v>13622072</v>
      </c>
      <c r="B139" t="s">
        <v>137</v>
      </c>
      <c r="C139" t="str">
        <f>VLOOKUP(A139,budget!$A$5:$I$337,3,FALSE)</f>
        <v>영월 고씨굴</v>
      </c>
      <c r="D139" t="str">
        <f>VLOOKUP(B139,api!$A$2:$R$334,2,FALSE)</f>
        <v>영월군</v>
      </c>
      <c r="E139" t="str">
        <f>VLOOKUP(B139,api!$A$2:$R$334,12,FALSE)</f>
        <v>강원특별자치도 영월군 김삿갓면 진별리 산 262-1</v>
      </c>
      <c r="F139" t="s">
        <v>226</v>
      </c>
      <c r="G139" t="str">
        <f>VLOOKUP(A139,budget!$A$5:$I$337,4,FALSE)</f>
        <v>자연경관/자유관광지</v>
      </c>
      <c r="J139" t="str">
        <f>VLOOKUP(A139,budget!$A$5:$I$337,5,FALSE)</f>
        <v>상시 개방</v>
      </c>
      <c r="K139" t="str">
        <f>VLOOKUP(B139,api!$A$2:$R$334,14,FALSE)</f>
        <v>033-372-6871</v>
      </c>
      <c r="L139" t="str">
        <f>VLOOKUP(B139,api!$A$2:$R$334,4,FALSE)</f>
        <v>https://www.yw.go.kr/tour/index.do#firstPage</v>
      </c>
      <c r="M139">
        <f>VLOOKUP(B139,api!$A$2:$R$334,5,FALSE)</f>
        <v>4.3</v>
      </c>
      <c r="N139">
        <f>VLOOKUP(B139,api!$A$2:$R$334,6,FALSE)</f>
        <v>73</v>
      </c>
      <c r="O139">
        <f>VLOOKUP(B139,api!$A$2:$R$334,7,FALSE)</f>
        <v>105</v>
      </c>
      <c r="P139">
        <f>VLOOKUP(A139,budget!$A$5:$I$337,6,FALSE)</f>
        <v>0</v>
      </c>
      <c r="Q139">
        <f>VLOOKUP(A139,budget!$A$5:$I$337,7,FALSE)</f>
        <v>0</v>
      </c>
      <c r="R139" t="str">
        <f>VLOOKUP(A139,budget!$A$5:$I$337,8,FALSE)</f>
        <v>상시 무료 관람 (식음료 및 개인소모품비 제외)</v>
      </c>
      <c r="S139" t="str">
        <f>VLOOKUP(A139,budget!$A$5:$I$337,9,FALSE)</f>
        <v>http://place.map.kakao.com/13622072</v>
      </c>
      <c r="T139">
        <f>VLOOKUP(B139,api!$A$2:$R$334,17,FALSE)</f>
        <v>128.53289030335199</v>
      </c>
      <c r="U139">
        <f>VLOOKUP(B139,api!$A$2:$R$334,18,FALSE)</f>
        <v>37.129407447980903</v>
      </c>
    </row>
    <row r="140" spans="1:21" x14ac:dyDescent="0.3">
      <c r="A140">
        <v>401241687</v>
      </c>
      <c r="B140" t="s">
        <v>138</v>
      </c>
      <c r="C140" t="str">
        <f>VLOOKUP(A140,budget!$A$5:$I$337,3,FALSE)</f>
        <v>영월관광센터</v>
      </c>
      <c r="D140" t="str">
        <f>VLOOKUP(B140,api!$A$2:$R$334,2,FALSE)</f>
        <v>영월군</v>
      </c>
      <c r="E140" t="str">
        <f>VLOOKUP(B140,api!$A$2:$R$334,12,FALSE)</f>
        <v>강원특별자치도 영월군 영월읍 방절리 245-11</v>
      </c>
      <c r="F140" t="s">
        <v>225</v>
      </c>
      <c r="G140" t="str">
        <f>VLOOKUP(A140,budget!$A$5:$I$337,4,FALSE)</f>
        <v>자연경관/자유관광지</v>
      </c>
      <c r="J140" t="str">
        <f>VLOOKUP(A140,budget!$A$5:$I$337,5,FALSE)</f>
        <v>상시 개방</v>
      </c>
      <c r="K140" t="str">
        <f>VLOOKUP(B140,api!$A$2:$R$334,14,FALSE)</f>
        <v>033-375-8986</v>
      </c>
      <c r="L140" t="str">
        <f>VLOOKUP(B140,api!$A$2:$R$334,4,FALSE)</f>
        <v>https://www.yw.go.kr/tour/index.do</v>
      </c>
      <c r="M140">
        <f>VLOOKUP(B140,api!$A$2:$R$334,5,FALSE)</f>
        <v>4.3</v>
      </c>
      <c r="N140">
        <f>VLOOKUP(B140,api!$A$2:$R$334,6,FALSE)</f>
        <v>21</v>
      </c>
      <c r="O140">
        <f>VLOOKUP(B140,api!$A$2:$R$334,7,FALSE)</f>
        <v>265</v>
      </c>
      <c r="P140">
        <f>VLOOKUP(A140,budget!$A$5:$I$337,6,FALSE)</f>
        <v>0</v>
      </c>
      <c r="Q140">
        <f>VLOOKUP(A140,budget!$A$5:$I$337,7,FALSE)</f>
        <v>0</v>
      </c>
      <c r="R140" t="str">
        <f>VLOOKUP(A140,budget!$A$5:$I$337,8,FALSE)</f>
        <v>상시 무료 관람 (식음료 및 개인소모품비 제외)</v>
      </c>
      <c r="S140" t="str">
        <f>VLOOKUP(A140,budget!$A$5:$I$337,9,FALSE)</f>
        <v>http://place.map.kakao.com/401241687</v>
      </c>
      <c r="T140">
        <f>VLOOKUP(B140,api!$A$2:$R$334,17,FALSE)</f>
        <v>128.44637147106499</v>
      </c>
      <c r="U140">
        <f>VLOOKUP(B140,api!$A$2:$R$334,18,FALSE)</f>
        <v>37.179728932308201</v>
      </c>
    </row>
    <row r="141" spans="1:21" x14ac:dyDescent="0.3">
      <c r="A141">
        <v>8540103</v>
      </c>
      <c r="B141" t="s">
        <v>139</v>
      </c>
      <c r="C141" t="str">
        <f>VLOOKUP(A141,budget!$A$5:$I$337,3,FALSE)</f>
        <v>장릉</v>
      </c>
      <c r="D141" t="str">
        <f>VLOOKUP(B141,api!$A$2:$R$334,2,FALSE)</f>
        <v>영월군</v>
      </c>
      <c r="E141" t="str">
        <f>VLOOKUP(B141,api!$A$2:$R$334,12,FALSE)</f>
        <v>강원특별자치도 영월군 영월읍 영흥리 1090-1</v>
      </c>
      <c r="F141" t="s">
        <v>226</v>
      </c>
      <c r="G141" t="str">
        <f>VLOOKUP(A141,budget!$A$5:$I$337,4,FALSE)</f>
        <v>자연경관/자유관광지</v>
      </c>
      <c r="J141" t="str">
        <f>VLOOKUP(A141,budget!$A$5:$I$337,5,FALSE)</f>
        <v>상시 개방</v>
      </c>
      <c r="K141" t="str">
        <f>VLOOKUP(B141,api!$A$2:$R$334,14,FALSE)</f>
        <v>033-374-4215</v>
      </c>
      <c r="L141" t="str">
        <f>VLOOKUP(B141,api!$A$2:$R$334,4,FALSE)</f>
        <v>https://www.yw.go.kr/tour/index.do</v>
      </c>
      <c r="M141">
        <f>VLOOKUP(B141,api!$A$2:$R$334,5,FALSE)</f>
        <v>5</v>
      </c>
      <c r="N141">
        <f>VLOOKUP(B141,api!$A$2:$R$334,6,FALSE)</f>
        <v>1328</v>
      </c>
      <c r="O141">
        <f>VLOOKUP(B141,api!$A$2:$R$334,7,FALSE)</f>
        <v>250</v>
      </c>
      <c r="P141">
        <f>VLOOKUP(A141,budget!$A$5:$I$337,6,FALSE)</f>
        <v>0</v>
      </c>
      <c r="Q141">
        <f>VLOOKUP(A141,budget!$A$5:$I$337,7,FALSE)</f>
        <v>0</v>
      </c>
      <c r="R141" t="str">
        <f>VLOOKUP(A141,budget!$A$5:$I$337,8,FALSE)</f>
        <v>상시 무료 관람 (식음료 및 개인소모품비 제외)</v>
      </c>
      <c r="S141" t="str">
        <f>VLOOKUP(A141,budget!$A$5:$I$337,9,FALSE)</f>
        <v>http://place.map.kakao.com/8540103</v>
      </c>
      <c r="T141">
        <f>VLOOKUP(B141,api!$A$2:$R$334,17,FALSE)</f>
        <v>128.45278548990399</v>
      </c>
      <c r="U141">
        <f>VLOOKUP(B141,api!$A$2:$R$334,18,FALSE)</f>
        <v>37.197376229261302</v>
      </c>
    </row>
    <row r="142" spans="1:21" x14ac:dyDescent="0.3">
      <c r="A142">
        <v>1782067734</v>
      </c>
      <c r="B142" t="s">
        <v>140</v>
      </c>
      <c r="C142" t="str">
        <f>VLOOKUP(A142,budget!$A$5:$I$337,3,FALSE)</f>
        <v>영월패러글라이딩</v>
      </c>
      <c r="D142" t="str">
        <f>VLOOKUP(B142,api!$A$2:$R$334,2,FALSE)</f>
        <v>영월군</v>
      </c>
      <c r="E142" t="str">
        <f>VLOOKUP(B142,api!$A$2:$R$334,12,FALSE)</f>
        <v>강원특별자치도 영월군 영월읍 하송리 26</v>
      </c>
      <c r="F142" t="s">
        <v>226</v>
      </c>
      <c r="G142" t="str">
        <f>VLOOKUP(A142,budget!$A$5:$I$337,4,FALSE)</f>
        <v>체험/액티비티</v>
      </c>
      <c r="J142" t="str">
        <f>VLOOKUP(A142,budget!$A$5:$I$337,5,FALSE)</f>
        <v>09:00 - 18:00 (사전예약/상황별 변동)</v>
      </c>
      <c r="K142" t="str">
        <f>VLOOKUP(B142,api!$A$2:$R$334,14,FALSE)</f>
        <v>033-372-1119</v>
      </c>
      <c r="L142" t="str">
        <f>VLOOKUP(B142,api!$A$2:$R$334,4,FALSE)</f>
        <v>https://0333721119.modoo.at/</v>
      </c>
      <c r="M142">
        <f>VLOOKUP(B142,api!$A$2:$R$334,5,FALSE)</f>
        <v>2.9</v>
      </c>
      <c r="N142">
        <f>VLOOKUP(B142,api!$A$2:$R$334,6,FALSE)</f>
        <v>14</v>
      </c>
      <c r="O142">
        <f>VLOOKUP(B142,api!$A$2:$R$334,7,FALSE)</f>
        <v>3</v>
      </c>
      <c r="P142">
        <f>VLOOKUP(A142,budget!$A$5:$I$337,6,FALSE)</f>
        <v>10000</v>
      </c>
      <c r="Q142">
        <f>VLOOKUP(A142,budget!$A$5:$I$337,7,FALSE)</f>
        <v>35000</v>
      </c>
      <c r="R142" t="str">
        <f>VLOOKUP(A142,budget!$A$5:$I$337,8,FALSE)</f>
        <v>1인 승선/체험권 기준 (코스 및 이용 상품에 따라 변동)</v>
      </c>
      <c r="S142" t="str">
        <f>VLOOKUP(A142,budget!$A$5:$I$337,9,FALSE)</f>
        <v>http://place.map.kakao.com/1782067734</v>
      </c>
      <c r="T142">
        <f>VLOOKUP(B142,api!$A$2:$R$334,17,FALSE)</f>
        <v>128.46835136302701</v>
      </c>
      <c r="U142">
        <f>VLOOKUP(B142,api!$A$2:$R$334,18,FALSE)</f>
        <v>37.179975694708403</v>
      </c>
    </row>
    <row r="143" spans="1:21" x14ac:dyDescent="0.3">
      <c r="A143">
        <v>8014870</v>
      </c>
      <c r="B143" t="s">
        <v>141</v>
      </c>
      <c r="C143" t="str">
        <f>VLOOKUP(A143,budget!$A$5:$I$337,3,FALSE)</f>
        <v>오산리 선사유적박물관</v>
      </c>
      <c r="D143" t="str">
        <f>VLOOKUP(B143,api!$A$2:$R$334,2,FALSE)</f>
        <v>양양군</v>
      </c>
      <c r="E143" t="str">
        <f>VLOOKUP(B143,api!$A$2:$R$334,12,FALSE)</f>
        <v>강원특별자치도 양양군 손양면 오산리 51</v>
      </c>
      <c r="F143" t="s">
        <v>225</v>
      </c>
      <c r="G143" t="str">
        <f>VLOOKUP(A143,budget!$A$5:$I$337,4,FALSE)</f>
        <v>문화/전람/동굴/전망시설</v>
      </c>
      <c r="H143" t="s">
        <v>792</v>
      </c>
      <c r="I143" t="s">
        <v>793</v>
      </c>
      <c r="J143" t="str">
        <f>VLOOKUP(A143,budget!$A$5:$I$337,5,FALSE)</f>
        <v>09:00 - 18:00 (입장마감 17:00, 월요일 휴무)</v>
      </c>
      <c r="K143" t="str">
        <f>VLOOKUP(B143,api!$A$2:$R$334,14,FALSE)</f>
        <v>033-670-2442</v>
      </c>
      <c r="L143" t="str">
        <f>VLOOKUP(B143,api!$A$2:$R$334,4,FALSE)</f>
        <v>https://www.yangyang.go.kr/gw/osm</v>
      </c>
      <c r="M143">
        <f>VLOOKUP(B143,api!$A$2:$R$334,5,FALSE)</f>
        <v>3.9</v>
      </c>
      <c r="N143">
        <f>VLOOKUP(B143,api!$A$2:$R$334,6,FALSE)</f>
        <v>21</v>
      </c>
      <c r="O143">
        <f>VLOOKUP(B143,api!$A$2:$R$334,7,FALSE)</f>
        <v>321</v>
      </c>
      <c r="P143">
        <f>VLOOKUP(A143,budget!$A$5:$I$337,6,FALSE)</f>
        <v>2000</v>
      </c>
      <c r="Q143">
        <f>VLOOKUP(A143,budget!$A$5:$I$337,7,FALSE)</f>
        <v>10000</v>
      </c>
      <c r="R143" t="str">
        <f>VLOOKUP(A143,budget!$A$5:$I$337,8,FALSE)</f>
        <v>대인 관람료 및 전망대/스카이워크 이용료 기준</v>
      </c>
      <c r="S143" t="str">
        <f>VLOOKUP(A143,budget!$A$5:$I$337,9,FALSE)</f>
        <v>http://place.map.kakao.com/8014870</v>
      </c>
      <c r="T143">
        <f>VLOOKUP(B143,api!$A$2:$R$334,17,FALSE)</f>
        <v>128.66052456858901</v>
      </c>
      <c r="U143">
        <f>VLOOKUP(B143,api!$A$2:$R$334,18,FALSE)</f>
        <v>38.085998521880498</v>
      </c>
    </row>
    <row r="144" spans="1:21" x14ac:dyDescent="0.3">
      <c r="A144">
        <v>25035251</v>
      </c>
      <c r="B144" t="s">
        <v>142</v>
      </c>
      <c r="C144" t="str">
        <f>VLOOKUP(A144,budget!$A$5:$I$337,3,FALSE)</f>
        <v>오색약수</v>
      </c>
      <c r="D144" t="str">
        <f>VLOOKUP(B144,api!$A$2:$R$334,2,FALSE)</f>
        <v>양양군</v>
      </c>
      <c r="E144" t="str">
        <f>VLOOKUP(B144,api!$A$2:$R$334,12,FALSE)</f>
        <v>강원특별자치도 양양군 서면 오색리 산 1-20</v>
      </c>
      <c r="F144" t="s">
        <v>226</v>
      </c>
      <c r="G144" t="str">
        <f>VLOOKUP(A144,budget!$A$5:$I$337,4,FALSE)</f>
        <v>자연경관/자유관광지</v>
      </c>
      <c r="J144" t="str">
        <f>VLOOKUP(A144,budget!$A$5:$I$337,5,FALSE)</f>
        <v>24시간 연중무휴 (자유 방문)</v>
      </c>
      <c r="K144">
        <f>VLOOKUP(B144,api!$A$2:$R$334,14,FALSE)</f>
        <v>0</v>
      </c>
      <c r="L144" t="str">
        <f>VLOOKUP(B144,api!$A$2:$R$334,4,FALSE)</f>
        <v>https://www.knps.or.kr/</v>
      </c>
      <c r="M144">
        <f>VLOOKUP(B144,api!$A$2:$R$334,5,FALSE)</f>
        <v>3.9</v>
      </c>
      <c r="N144">
        <f>VLOOKUP(B144,api!$A$2:$R$334,6,FALSE)</f>
        <v>60</v>
      </c>
      <c r="O144">
        <f>VLOOKUP(B144,api!$A$2:$R$334,7,FALSE)</f>
        <v>66</v>
      </c>
      <c r="P144">
        <f>VLOOKUP(A144,budget!$A$5:$I$337,6,FALSE)</f>
        <v>0</v>
      </c>
      <c r="Q144">
        <f>VLOOKUP(A144,budget!$A$5:$I$337,7,FALSE)</f>
        <v>0</v>
      </c>
      <c r="R144" t="str">
        <f>VLOOKUP(A144,budget!$A$5:$I$337,8,FALSE)</f>
        <v>상시 무료 관람 (식음료 및 개인소모품비 제외)</v>
      </c>
      <c r="S144" t="str">
        <f>VLOOKUP(A144,budget!$A$5:$I$337,9,FALSE)</f>
        <v>http://place.map.kakao.com/25035251</v>
      </c>
      <c r="T144">
        <f>VLOOKUP(B144,api!$A$2:$R$334,17,FALSE)</f>
        <v>128.44572478655601</v>
      </c>
      <c r="U144">
        <f>VLOOKUP(B144,api!$A$2:$R$334,18,FALSE)</f>
        <v>38.077656672038898</v>
      </c>
    </row>
    <row r="145" spans="1:21" x14ac:dyDescent="0.3">
      <c r="A145">
        <v>8090013</v>
      </c>
      <c r="B145" t="s">
        <v>143</v>
      </c>
      <c r="C145" t="str">
        <f>VLOOKUP(A145,budget!$A$5:$I$337,3,FALSE)</f>
        <v>주전골</v>
      </c>
      <c r="D145" t="str">
        <f>VLOOKUP(B145,api!$A$2:$R$334,2,FALSE)</f>
        <v>양양군</v>
      </c>
      <c r="E145" t="str">
        <f>VLOOKUP(B145,api!$A$2:$R$334,12,FALSE)</f>
        <v>강원특별자치도 양양군 서면 오색리 산 1-25</v>
      </c>
      <c r="F145" t="s">
        <v>226</v>
      </c>
      <c r="G145" t="str">
        <f>VLOOKUP(A145,budget!$A$5:$I$337,4,FALSE)</f>
        <v>자연경관/자유관광지</v>
      </c>
      <c r="H145" t="s">
        <v>799</v>
      </c>
      <c r="I145" t="s">
        <v>800</v>
      </c>
      <c r="J145" t="str">
        <f>VLOOKUP(A145,budget!$A$5:$I$337,5,FALSE)</f>
        <v>상시 개방</v>
      </c>
      <c r="K145">
        <f>VLOOKUP(B145,api!$A$2:$R$334,14,FALSE)</f>
        <v>0</v>
      </c>
      <c r="L145" t="str">
        <f>VLOOKUP(B145,api!$A$2:$R$334,4,FALSE)</f>
        <v>https://www.knps.or.kr/</v>
      </c>
      <c r="M145">
        <f>VLOOKUP(B145,api!$A$2:$R$334,5,FALSE)</f>
        <v>4.7</v>
      </c>
      <c r="N145">
        <f>VLOOKUP(B145,api!$A$2:$R$334,6,FALSE)</f>
        <v>31</v>
      </c>
      <c r="O145">
        <f>VLOOKUP(B145,api!$A$2:$R$334,7,FALSE)</f>
        <v>1</v>
      </c>
      <c r="P145">
        <f>VLOOKUP(A145,budget!$A$5:$I$337,6,FALSE)</f>
        <v>0</v>
      </c>
      <c r="Q145">
        <f>VLOOKUP(A145,budget!$A$5:$I$337,7,FALSE)</f>
        <v>0</v>
      </c>
      <c r="R145" t="str">
        <f>VLOOKUP(A145,budget!$A$5:$I$337,8,FALSE)</f>
        <v>상시 무료 관람 (식음료 및 개인소모품비 제외)</v>
      </c>
      <c r="S145" t="str">
        <f>VLOOKUP(A145,budget!$A$5:$I$337,9,FALSE)</f>
        <v>http://place.map.kakao.com/8090013</v>
      </c>
      <c r="T145">
        <f>VLOOKUP(B145,api!$A$2:$R$334,17,FALSE)</f>
        <v>128.42821424528501</v>
      </c>
      <c r="U145">
        <f>VLOOKUP(B145,api!$A$2:$R$334,18,FALSE)</f>
        <v>38.082526399831799</v>
      </c>
    </row>
    <row r="146" spans="1:21" x14ac:dyDescent="0.3">
      <c r="A146">
        <v>25323416</v>
      </c>
      <c r="B146" t="s">
        <v>144</v>
      </c>
      <c r="C146" t="str">
        <f>VLOOKUP(A146,budget!$A$5:$I$337,3,FALSE)</f>
        <v>오죽헌</v>
      </c>
      <c r="D146" t="str">
        <f>VLOOKUP(B146,api!$A$2:$R$334,2,FALSE)</f>
        <v>강릉시</v>
      </c>
      <c r="E146" t="str">
        <f>VLOOKUP(B146,api!$A$2:$R$334,12,FALSE)</f>
        <v>강원특별자치도 강릉시 죽헌동 177-4</v>
      </c>
      <c r="F146" t="s">
        <v>226</v>
      </c>
      <c r="G146" t="str">
        <f>VLOOKUP(A146,budget!$A$5:$I$337,4,FALSE)</f>
        <v>자연경관/자유관광지</v>
      </c>
      <c r="J146" t="str">
        <f>VLOOKUP(A146,budget!$A$5:$I$337,5,FALSE)</f>
        <v>상시 개방</v>
      </c>
      <c r="K146" t="str">
        <f>VLOOKUP(B146,api!$A$2:$R$334,14,FALSE)</f>
        <v>033-660-3301</v>
      </c>
      <c r="L146" t="str">
        <f>VLOOKUP(B146,api!$A$2:$R$334,4,FALSE)</f>
        <v>https://www.gn.go.kr/museum/index.do</v>
      </c>
      <c r="M146">
        <f>VLOOKUP(B146,api!$A$2:$R$334,5,FALSE)</f>
        <v>4.4000000000000004</v>
      </c>
      <c r="N146">
        <f>VLOOKUP(B146,api!$A$2:$R$334,6,FALSE)</f>
        <v>259</v>
      </c>
      <c r="O146">
        <f>VLOOKUP(B146,api!$A$2:$R$334,7,FALSE)</f>
        <v>772</v>
      </c>
      <c r="P146">
        <f>VLOOKUP(A146,budget!$A$5:$I$337,6,FALSE)</f>
        <v>0</v>
      </c>
      <c r="Q146">
        <f>VLOOKUP(A146,budget!$A$5:$I$337,7,FALSE)</f>
        <v>0</v>
      </c>
      <c r="R146" t="str">
        <f>VLOOKUP(A146,budget!$A$5:$I$337,8,FALSE)</f>
        <v>상시 무료 관람 (식음료 및 개인소모품비 제외)</v>
      </c>
      <c r="S146" t="str">
        <f>VLOOKUP(A146,budget!$A$5:$I$337,9,FALSE)</f>
        <v>http://place.map.kakao.com/25323416</v>
      </c>
      <c r="T146">
        <f>VLOOKUP(B146,api!$A$2:$R$334,17,FALSE)</f>
        <v>128.87754314425499</v>
      </c>
      <c r="U146">
        <f>VLOOKUP(B146,api!$A$2:$R$334,18,FALSE)</f>
        <v>37.7792478395694</v>
      </c>
    </row>
    <row r="147" spans="1:21" x14ac:dyDescent="0.3">
      <c r="A147">
        <v>8012189</v>
      </c>
      <c r="B147" t="s">
        <v>145</v>
      </c>
      <c r="C147" t="str">
        <f>VLOOKUP(A147,budget!$A$5:$I$337,3,FALSE)</f>
        <v>고성왕곡마을</v>
      </c>
      <c r="D147" t="str">
        <f>VLOOKUP(B147,api!$A$2:$R$334,2,FALSE)</f>
        <v>고성군</v>
      </c>
      <c r="E147" t="str">
        <f>VLOOKUP(B147,api!$A$2:$R$334,12,FALSE)</f>
        <v>강원특별자치도 고성군 죽왕면 오봉리 394</v>
      </c>
      <c r="F147" t="s">
        <v>226</v>
      </c>
      <c r="G147" t="str">
        <f>VLOOKUP(A147,budget!$A$5:$I$337,4,FALSE)</f>
        <v>자연경관/자유관광지</v>
      </c>
      <c r="J147" t="str">
        <f>VLOOKUP(A147,budget!$A$5:$I$337,5,FALSE)</f>
        <v>상시 개방</v>
      </c>
      <c r="K147" t="str">
        <f>VLOOKUP(B147,api!$A$2:$R$334,14,FALSE)</f>
        <v>033-631-2120</v>
      </c>
      <c r="L147" t="str">
        <f>VLOOKUP(B147,api!$A$2:$R$334,4,FALSE)</f>
        <v>https://www.wanggok.kr:457/</v>
      </c>
      <c r="M147">
        <f>VLOOKUP(B147,api!$A$2:$R$334,5,FALSE)</f>
        <v>4.2</v>
      </c>
      <c r="N147">
        <f>VLOOKUP(B147,api!$A$2:$R$334,6,FALSE)</f>
        <v>44</v>
      </c>
      <c r="O147">
        <f>VLOOKUP(B147,api!$A$2:$R$334,7,FALSE)</f>
        <v>80</v>
      </c>
      <c r="P147">
        <f>VLOOKUP(A147,budget!$A$5:$I$337,6,FALSE)</f>
        <v>0</v>
      </c>
      <c r="Q147">
        <f>VLOOKUP(A147,budget!$A$5:$I$337,7,FALSE)</f>
        <v>0</v>
      </c>
      <c r="R147" t="str">
        <f>VLOOKUP(A147,budget!$A$5:$I$337,8,FALSE)</f>
        <v>상시 무료 관람 (식음료 및 개인소모품비 제외)</v>
      </c>
      <c r="S147" t="str">
        <f>VLOOKUP(A147,budget!$A$5:$I$337,9,FALSE)</f>
        <v>http://place.map.kakao.com/8012189</v>
      </c>
      <c r="T147">
        <f>VLOOKUP(B147,api!$A$2:$R$334,17,FALSE)</f>
        <v>128.499815766842</v>
      </c>
      <c r="U147">
        <f>VLOOKUP(B147,api!$A$2:$R$334,18,FALSE)</f>
        <v>38.3413723827721</v>
      </c>
    </row>
    <row r="148" spans="1:21" x14ac:dyDescent="0.3">
      <c r="A148">
        <v>1822049240</v>
      </c>
      <c r="B148" t="s">
        <v>146</v>
      </c>
      <c r="C148" t="str">
        <f>VLOOKUP(A148,budget!$A$5:$I$337,3,FALSE)</f>
        <v>요선암 돌개구멍</v>
      </c>
      <c r="D148" t="str">
        <f>VLOOKUP(B148,api!$A$2:$R$334,2,FALSE)</f>
        <v>영월군</v>
      </c>
      <c r="E148" t="str">
        <f>VLOOKUP(B148,api!$A$2:$R$334,12,FALSE)</f>
        <v>강원특별자치도 영월군 무릉도원면 무릉리 1423</v>
      </c>
      <c r="F148" t="s">
        <v>226</v>
      </c>
      <c r="G148" t="str">
        <f>VLOOKUP(A148,budget!$A$5:$I$337,4,FALSE)</f>
        <v>자연경관/자유관광지</v>
      </c>
      <c r="J148" t="str">
        <f>VLOOKUP(A148,budget!$A$5:$I$337,5,FALSE)</f>
        <v>05:00 - 18:00 (일몰 시까지)</v>
      </c>
      <c r="K148">
        <f>VLOOKUP(B148,api!$A$2:$R$334,14,FALSE)</f>
        <v>0</v>
      </c>
      <c r="L148" t="str">
        <f>VLOOKUP(B148,api!$A$2:$R$334,4,FALSE)</f>
        <v>https://www.yw.go.kr/tour/index.do#lastPage</v>
      </c>
      <c r="M148">
        <f>VLOOKUP(B148,api!$A$2:$R$334,5,FALSE)</f>
        <v>4</v>
      </c>
      <c r="N148">
        <f>VLOOKUP(B148,api!$A$2:$R$334,6,FALSE)</f>
        <v>39</v>
      </c>
      <c r="O148">
        <f>VLOOKUP(B148,api!$A$2:$R$334,7,FALSE)</f>
        <v>66</v>
      </c>
      <c r="P148">
        <f>VLOOKUP(A148,budget!$A$5:$I$337,6,FALSE)</f>
        <v>0</v>
      </c>
      <c r="Q148">
        <f>VLOOKUP(A148,budget!$A$5:$I$337,7,FALSE)</f>
        <v>0</v>
      </c>
      <c r="R148" t="str">
        <f>VLOOKUP(A148,budget!$A$5:$I$337,8,FALSE)</f>
        <v>상시 무료 관람 (식음료 및 개인소모품비 제외)</v>
      </c>
      <c r="S148" t="str">
        <f>VLOOKUP(A148,budget!$A$5:$I$337,9,FALSE)</f>
        <v>http://place.map.kakao.com/1822049240</v>
      </c>
      <c r="T148">
        <f>VLOOKUP(B148,api!$A$2:$R$334,17,FALSE)</f>
        <v>128.260858680902</v>
      </c>
      <c r="U148">
        <f>VLOOKUP(B148,api!$A$2:$R$334,18,FALSE)</f>
        <v>37.297091152429502</v>
      </c>
    </row>
    <row r="149" spans="1:21" x14ac:dyDescent="0.3">
      <c r="A149">
        <v>8014454</v>
      </c>
      <c r="B149" t="s">
        <v>147</v>
      </c>
      <c r="C149" t="str">
        <f>VLOOKUP(A149,budget!$A$5:$I$337,3,FALSE)</f>
        <v>요선정</v>
      </c>
      <c r="D149" t="str">
        <f>VLOOKUP(B149,api!$A$2:$R$334,2,FALSE)</f>
        <v>영월군</v>
      </c>
      <c r="E149" t="str">
        <f>VLOOKUP(B149,api!$A$2:$R$334,12,FALSE)</f>
        <v>강원특별자치도 영월군 무릉도원면 무릉리 산 139</v>
      </c>
      <c r="F149" t="s">
        <v>226</v>
      </c>
      <c r="G149" t="str">
        <f>VLOOKUP(A149,budget!$A$5:$I$337,4,FALSE)</f>
        <v>자연경관/자유관광지</v>
      </c>
      <c r="J149" t="str">
        <f>VLOOKUP(A149,budget!$A$5:$I$337,5,FALSE)</f>
        <v>상시 개방</v>
      </c>
      <c r="K149">
        <f>VLOOKUP(B149,api!$A$2:$R$334,14,FALSE)</f>
        <v>0</v>
      </c>
      <c r="L149" t="str">
        <f>VLOOKUP(B149,api!$A$2:$R$334,4,FALSE)</f>
        <v>https://www.yw.go.kr/tour/index.do#lastPage</v>
      </c>
      <c r="M149">
        <f>VLOOKUP(B149,api!$A$2:$R$334,5,FALSE)</f>
        <v>4.2</v>
      </c>
      <c r="N149">
        <f>VLOOKUP(B149,api!$A$2:$R$334,6,FALSE)</f>
        <v>16</v>
      </c>
      <c r="O149">
        <f>VLOOKUP(B149,api!$A$2:$R$334,7,FALSE)</f>
        <v>20</v>
      </c>
      <c r="P149">
        <f>VLOOKUP(A149,budget!$A$5:$I$337,6,FALSE)</f>
        <v>0</v>
      </c>
      <c r="Q149">
        <f>VLOOKUP(A149,budget!$A$5:$I$337,7,FALSE)</f>
        <v>0</v>
      </c>
      <c r="R149" t="str">
        <f>VLOOKUP(A149,budget!$A$5:$I$337,8,FALSE)</f>
        <v>상시 무료 관람 (식음료 및 개인소모품비 제외)</v>
      </c>
      <c r="S149" t="str">
        <f>VLOOKUP(A149,budget!$A$5:$I$337,9,FALSE)</f>
        <v>http://place.map.kakao.com/8014454</v>
      </c>
      <c r="T149">
        <f>VLOOKUP(B149,api!$A$2:$R$334,17,FALSE)</f>
        <v>128.26031901875501</v>
      </c>
      <c r="U149">
        <f>VLOOKUP(B149,api!$A$2:$R$334,18,FALSE)</f>
        <v>37.298407824921703</v>
      </c>
    </row>
    <row r="150" spans="1:21" x14ac:dyDescent="0.3">
      <c r="A150">
        <v>25618250</v>
      </c>
      <c r="B150" t="s">
        <v>148</v>
      </c>
      <c r="C150" t="str">
        <f>VLOOKUP(A150,budget!$A$5:$I$337,3,FALSE)</f>
        <v>국립용대자연휴양림</v>
      </c>
      <c r="D150" t="str">
        <f>VLOOKUP(B150,api!$A$2:$R$334,2,FALSE)</f>
        <v>인제군</v>
      </c>
      <c r="E150" t="str">
        <f>VLOOKUP(B150,api!$A$2:$R$334,12,FALSE)</f>
        <v>강원특별자치도 인제군 북면 용대리 산 262-1</v>
      </c>
      <c r="F150" t="s">
        <v>226</v>
      </c>
      <c r="G150" t="str">
        <f>VLOOKUP(A150,budget!$A$5:$I$337,4,FALSE)</f>
        <v>휴양림/수목원</v>
      </c>
      <c r="H150" t="s">
        <v>799</v>
      </c>
      <c r="I150" t="s">
        <v>800</v>
      </c>
      <c r="J150" t="str">
        <f>VLOOKUP(A150,budget!$A$5:$I$337,5,FALSE)</f>
        <v>09:00 - 18:00 (화요일/월요일 휴무)</v>
      </c>
      <c r="K150" t="str">
        <f>VLOOKUP(B150,api!$A$2:$R$334,14,FALSE)</f>
        <v>033-462-5031</v>
      </c>
      <c r="L150" t="str">
        <f>VLOOKUP(B150,api!$A$2:$R$334,4,FALSE)</f>
        <v>https://www.foresttrip.go.kr/indvz/main.do?hmpgId=0102</v>
      </c>
      <c r="M150">
        <f>VLOOKUP(B150,api!$A$2:$R$334,5,FALSE)</f>
        <v>3.5</v>
      </c>
      <c r="N150">
        <f>VLOOKUP(B150,api!$A$2:$R$334,6,FALSE)</f>
        <v>14</v>
      </c>
      <c r="O150">
        <f>VLOOKUP(B150,api!$A$2:$R$334,7,FALSE)</f>
        <v>3</v>
      </c>
      <c r="P150">
        <f>VLOOKUP(A150,budget!$A$5:$I$337,6,FALSE)</f>
        <v>1000</v>
      </c>
      <c r="Q150">
        <f>VLOOKUP(A150,budget!$A$5:$I$337,7,FALSE)</f>
        <v>5000</v>
      </c>
      <c r="R150" t="str">
        <f>VLOOKUP(A150,budget!$A$5:$I$337,8,FALSE)</f>
        <v>국공립/민간 휴양림 입장료 기준 (숙박/체험비 제외)</v>
      </c>
      <c r="S150" t="str">
        <f>VLOOKUP(A150,budget!$A$5:$I$337,9,FALSE)</f>
        <v>http://place.map.kakao.com/25618250</v>
      </c>
      <c r="T150">
        <f>VLOOKUP(B150,api!$A$2:$R$334,17,FALSE)</f>
        <v>128.36463477247901</v>
      </c>
      <c r="U150">
        <f>VLOOKUP(B150,api!$A$2:$R$334,18,FALSE)</f>
        <v>38.231582581391002</v>
      </c>
    </row>
    <row r="151" spans="1:21" x14ac:dyDescent="0.3">
      <c r="A151">
        <v>8022938</v>
      </c>
      <c r="B151" t="s">
        <v>149</v>
      </c>
      <c r="C151" t="str">
        <f>VLOOKUP(A151,budget!$A$5:$I$337,3,FALSE)</f>
        <v>용소계곡</v>
      </c>
      <c r="D151" t="str">
        <f>VLOOKUP(B151,api!$A$2:$R$334,2,FALSE)</f>
        <v>홍천군</v>
      </c>
      <c r="E151" t="str">
        <f>VLOOKUP(B151,api!$A$2:$R$334,12,FALSE)</f>
        <v>강원특별자치도 홍천군 내촌면 광암리 147-4</v>
      </c>
      <c r="F151" t="s">
        <v>226</v>
      </c>
      <c r="G151" t="str">
        <f>VLOOKUP(A151,budget!$A$5:$I$337,4,FALSE)</f>
        <v>자연경관/자유관광지</v>
      </c>
      <c r="H151" t="s">
        <v>799</v>
      </c>
      <c r="I151" t="s">
        <v>800</v>
      </c>
      <c r="J151" t="str">
        <f>VLOOKUP(A151,budget!$A$5:$I$337,5,FALSE)</f>
        <v>24시간 연중무휴 (자유 방문)</v>
      </c>
      <c r="K151">
        <f>VLOOKUP(B151,api!$A$2:$R$334,14,FALSE)</f>
        <v>0</v>
      </c>
      <c r="L151" t="str">
        <f>VLOOKUP(B151,api!$A$2:$R$334,4,FALSE)</f>
        <v>https://www.hongcheon.go.kr/</v>
      </c>
      <c r="M151">
        <f>VLOOKUP(B151,api!$A$2:$R$334,5,FALSE)</f>
        <v>3.9</v>
      </c>
      <c r="N151">
        <f>VLOOKUP(B151,api!$A$2:$R$334,6,FALSE)</f>
        <v>7</v>
      </c>
      <c r="O151">
        <f>VLOOKUP(B151,api!$A$2:$R$334,7,FALSE)</f>
        <v>15</v>
      </c>
      <c r="P151">
        <f>VLOOKUP(A151,budget!$A$5:$I$337,6,FALSE)</f>
        <v>0</v>
      </c>
      <c r="Q151">
        <f>VLOOKUP(A151,budget!$A$5:$I$337,7,FALSE)</f>
        <v>0</v>
      </c>
      <c r="R151" t="str">
        <f>VLOOKUP(A151,budget!$A$5:$I$337,8,FALSE)</f>
        <v>상시 무료 관람 (식음료 및 개인소모품비 제외)</v>
      </c>
      <c r="S151" t="str">
        <f>VLOOKUP(A151,budget!$A$5:$I$337,9,FALSE)</f>
        <v>http://place.map.kakao.com/8022938</v>
      </c>
      <c r="T151">
        <f>VLOOKUP(B151,api!$A$2:$R$334,17,FALSE)</f>
        <v>128.12947454687699</v>
      </c>
      <c r="U151">
        <f>VLOOKUP(B151,api!$A$2:$R$334,18,FALSE)</f>
        <v>37.8675433999136</v>
      </c>
    </row>
    <row r="152" spans="1:21" x14ac:dyDescent="0.3">
      <c r="A152">
        <v>11188641</v>
      </c>
      <c r="B152" t="s">
        <v>150</v>
      </c>
      <c r="C152" t="str">
        <f>VLOOKUP(A152,budget!$A$5:$I$337,3,FALSE)</f>
        <v>천주교 용소막성당</v>
      </c>
      <c r="D152" t="str">
        <f>VLOOKUP(B152,api!$A$2:$R$334,2,FALSE)</f>
        <v>원주시</v>
      </c>
      <c r="E152" t="str">
        <f>VLOOKUP(B152,api!$A$2:$R$334,12,FALSE)</f>
        <v>강원특별자치도 원주시 신림면 용암리 719-2</v>
      </c>
      <c r="F152" t="s">
        <v>225</v>
      </c>
      <c r="G152" t="str">
        <f>VLOOKUP(A152,budget!$A$5:$I$337,4,FALSE)</f>
        <v>자연경관/자유관광지</v>
      </c>
      <c r="J152" t="str">
        <f>VLOOKUP(A152,budget!$A$5:$I$337,5,FALSE)</f>
        <v>05:00 - 18:00 (일몰 시까지)</v>
      </c>
      <c r="K152" t="str">
        <f>VLOOKUP(B152,api!$A$2:$R$334,14,FALSE)</f>
        <v>033-763-2343</v>
      </c>
      <c r="L152" t="str">
        <f>VLOOKUP(B152,api!$A$2:$R$334,4,FALSE)</f>
        <v>https://www.wonju.go.kr/tour/index.do</v>
      </c>
      <c r="M152">
        <f>VLOOKUP(B152,api!$A$2:$R$334,5,FALSE)</f>
        <v>4.7</v>
      </c>
      <c r="N152">
        <f>VLOOKUP(B152,api!$A$2:$R$334,6,FALSE)</f>
        <v>22</v>
      </c>
      <c r="O152">
        <f>VLOOKUP(B152,api!$A$2:$R$334,7,FALSE)</f>
        <v>102</v>
      </c>
      <c r="P152">
        <f>VLOOKUP(A152,budget!$A$5:$I$337,6,FALSE)</f>
        <v>0</v>
      </c>
      <c r="Q152">
        <f>VLOOKUP(A152,budget!$A$5:$I$337,7,FALSE)</f>
        <v>0</v>
      </c>
      <c r="R152" t="str">
        <f>VLOOKUP(A152,budget!$A$5:$I$337,8,FALSE)</f>
        <v>상시 무료 관람 (식음료 및 개인소모품비 제외)</v>
      </c>
      <c r="S152" t="str">
        <f>VLOOKUP(A152,budget!$A$5:$I$337,9,FALSE)</f>
        <v>http://place.map.kakao.com/11188641</v>
      </c>
      <c r="T152">
        <f>VLOOKUP(B152,api!$A$2:$R$334,17,FALSE)</f>
        <v>128.08786711260501</v>
      </c>
      <c r="U152">
        <f>VLOOKUP(B152,api!$A$2:$R$334,18,FALSE)</f>
        <v>37.212426319126003</v>
      </c>
    </row>
    <row r="153" spans="1:21" x14ac:dyDescent="0.3">
      <c r="A153">
        <v>8466942</v>
      </c>
      <c r="B153" t="s">
        <v>151</v>
      </c>
      <c r="C153" t="str">
        <f>VLOOKUP(A153,budget!$A$5:$I$337,3,FALSE)</f>
        <v>용연동굴</v>
      </c>
      <c r="D153" t="str">
        <f>VLOOKUP(B153,api!$A$2:$R$334,2,FALSE)</f>
        <v>태백시</v>
      </c>
      <c r="E153" t="str">
        <f>VLOOKUP(B153,api!$A$2:$R$334,12,FALSE)</f>
        <v>강원특별자치도 태백시 화전동 산 47-69</v>
      </c>
      <c r="F153" t="s">
        <v>225</v>
      </c>
      <c r="G153" t="str">
        <f>VLOOKUP(A153,budget!$A$5:$I$337,4,FALSE)</f>
        <v>문화/전람/동굴/전망시설</v>
      </c>
      <c r="J153" t="str">
        <f>VLOOKUP(A153,budget!$A$5:$I$337,5,FALSE)</f>
        <v>09:00 - 18:00 (매표마감 17:00)</v>
      </c>
      <c r="K153">
        <f>VLOOKUP(B153,api!$A$2:$R$334,14,FALSE)</f>
        <v>0</v>
      </c>
      <c r="L153" t="str">
        <f>VLOOKUP(B153,api!$A$2:$R$334,4,FALSE)</f>
        <v>https://tour.taebaek.go.kr/</v>
      </c>
      <c r="M153">
        <f>VLOOKUP(B153,api!$A$2:$R$334,5,FALSE)</f>
        <v>4.4000000000000004</v>
      </c>
      <c r="N153">
        <f>VLOOKUP(B153,api!$A$2:$R$334,6,FALSE)</f>
        <v>52</v>
      </c>
      <c r="O153">
        <f>VLOOKUP(B153,api!$A$2:$R$334,7,FALSE)</f>
        <v>216</v>
      </c>
      <c r="P153">
        <f>VLOOKUP(A153,budget!$A$5:$I$337,6,FALSE)</f>
        <v>2000</v>
      </c>
      <c r="Q153">
        <f>VLOOKUP(A153,budget!$A$5:$I$337,7,FALSE)</f>
        <v>10000</v>
      </c>
      <c r="R153" t="str">
        <f>VLOOKUP(A153,budget!$A$5:$I$337,8,FALSE)</f>
        <v>대인 관람료 및 전망대/스카이워크 이용료 기준</v>
      </c>
      <c r="S153" t="str">
        <f>VLOOKUP(A153,budget!$A$5:$I$337,9,FALSE)</f>
        <v>http://place.map.kakao.com/8466942</v>
      </c>
      <c r="T153">
        <f>VLOOKUP(B153,api!$A$2:$R$334,17,FALSE)</f>
        <v>128.94183885350901</v>
      </c>
      <c r="U153">
        <f>VLOOKUP(B153,api!$A$2:$R$334,18,FALSE)</f>
        <v>37.208929241327901</v>
      </c>
    </row>
    <row r="154" spans="1:21" x14ac:dyDescent="0.3">
      <c r="A154">
        <v>27301455</v>
      </c>
      <c r="B154" t="s">
        <v>152</v>
      </c>
      <c r="C154" t="str">
        <f>VLOOKUP(A154,budget!$A$5:$I$337,3,FALSE)</f>
        <v>원대리자작나무숲</v>
      </c>
      <c r="D154" t="str">
        <f>VLOOKUP(B154,api!$A$2:$R$334,2,FALSE)</f>
        <v>인제군</v>
      </c>
      <c r="E154" t="str">
        <f>VLOOKUP(B154,api!$A$2:$R$334,12,FALSE)</f>
        <v>강원특별자치도 인제군 인제읍 원대리 산 75-22</v>
      </c>
      <c r="F154" t="s">
        <v>226</v>
      </c>
      <c r="G154" t="str">
        <f>VLOOKUP(A154,budget!$A$5:$I$337,4,FALSE)</f>
        <v>자연경관/자유관광지</v>
      </c>
      <c r="H154" t="s">
        <v>799</v>
      </c>
      <c r="I154" t="s">
        <v>800</v>
      </c>
      <c r="J154" t="str">
        <f>VLOOKUP(A154,budget!$A$5:$I$337,5,FALSE)</f>
        <v>상시 개방</v>
      </c>
      <c r="K154">
        <f>VLOOKUP(B154,api!$A$2:$R$334,14,FALSE)</f>
        <v>0</v>
      </c>
      <c r="L154">
        <f>VLOOKUP(B154,api!$A$2:$R$334,4,FALSE)</f>
        <v>0</v>
      </c>
      <c r="M154">
        <f>VLOOKUP(B154,api!$A$2:$R$334,5,FALSE)</f>
        <v>4.2</v>
      </c>
      <c r="N154">
        <f>VLOOKUP(B154,api!$A$2:$R$334,6,FALSE)</f>
        <v>145</v>
      </c>
      <c r="O154">
        <f>VLOOKUP(B154,api!$A$2:$R$334,7,FALSE)</f>
        <v>82</v>
      </c>
      <c r="P154">
        <f>VLOOKUP(A154,budget!$A$5:$I$337,6,FALSE)</f>
        <v>0</v>
      </c>
      <c r="Q154">
        <f>VLOOKUP(A154,budget!$A$5:$I$337,7,FALSE)</f>
        <v>0</v>
      </c>
      <c r="R154" t="str">
        <f>VLOOKUP(A154,budget!$A$5:$I$337,8,FALSE)</f>
        <v>상시 무료 관람 (식음료 및 개인소모품비 제외)</v>
      </c>
      <c r="S154" t="str">
        <f>VLOOKUP(A154,budget!$A$5:$I$337,9,FALSE)</f>
        <v>http://place.map.kakao.com/27301455</v>
      </c>
      <c r="T154">
        <f>VLOOKUP(B154,api!$A$2:$R$334,17,FALSE)</f>
        <v>128.19898760827999</v>
      </c>
      <c r="U154">
        <f>VLOOKUP(B154,api!$A$2:$R$334,18,FALSE)</f>
        <v>37.988190793167597</v>
      </c>
    </row>
    <row r="155" spans="1:21" x14ac:dyDescent="0.3">
      <c r="A155">
        <v>24759651</v>
      </c>
      <c r="B155" t="s">
        <v>153</v>
      </c>
      <c r="C155" t="str">
        <f>VLOOKUP(A155,budget!$A$5:$I$337,3,FALSE)</f>
        <v>오대산월정사 전나무숲길</v>
      </c>
      <c r="D155" t="str">
        <f>VLOOKUP(B155,api!$A$2:$R$334,2,FALSE)</f>
        <v>평창군</v>
      </c>
      <c r="E155" t="str">
        <f>VLOOKUP(B155,api!$A$2:$R$334,12,FALSE)</f>
        <v>강원특별자치도 평창군 진부면 동산리</v>
      </c>
      <c r="F155" t="s">
        <v>226</v>
      </c>
      <c r="G155" t="str">
        <f>VLOOKUP(A155,budget!$A$5:$I$337,4,FALSE)</f>
        <v>자연경관/자유관광지</v>
      </c>
      <c r="H155" t="s">
        <v>799</v>
      </c>
      <c r="I155" t="s">
        <v>800</v>
      </c>
      <c r="J155" t="str">
        <f>VLOOKUP(A155,budget!$A$5:$I$337,5,FALSE)</f>
        <v>05:00 - 18:00 (일몰 시까지)</v>
      </c>
      <c r="K155">
        <f>VLOOKUP(B155,api!$A$2:$R$334,14,FALSE)</f>
        <v>0</v>
      </c>
      <c r="L155" t="str">
        <f>VLOOKUP(B155,api!$A$2:$R$334,4,FALSE)</f>
        <v>http://woljeongsa.org/?skipintro=1</v>
      </c>
      <c r="M155">
        <f>VLOOKUP(B155,api!$A$2:$R$334,5,FALSE)</f>
        <v>4.5</v>
      </c>
      <c r="N155">
        <f>VLOOKUP(B155,api!$A$2:$R$334,6,FALSE)</f>
        <v>101</v>
      </c>
      <c r="O155">
        <f>VLOOKUP(B155,api!$A$2:$R$334,7,FALSE)</f>
        <v>222</v>
      </c>
      <c r="P155">
        <f>VLOOKUP(A155,budget!$A$5:$I$337,6,FALSE)</f>
        <v>0</v>
      </c>
      <c r="Q155">
        <f>VLOOKUP(A155,budget!$A$5:$I$337,7,FALSE)</f>
        <v>0</v>
      </c>
      <c r="R155" t="str">
        <f>VLOOKUP(A155,budget!$A$5:$I$337,8,FALSE)</f>
        <v>상시 무료 관람 (식음료 및 개인소모품비 제외)</v>
      </c>
      <c r="S155" t="str">
        <f>VLOOKUP(A155,budget!$A$5:$I$337,9,FALSE)</f>
        <v>http://place.map.kakao.com/24759651</v>
      </c>
      <c r="T155">
        <f>VLOOKUP(B155,api!$A$2:$R$334,17,FALSE)</f>
        <v>128.59588468442999</v>
      </c>
      <c r="U155">
        <f>VLOOKUP(B155,api!$A$2:$R$334,18,FALSE)</f>
        <v>37.7284396535767</v>
      </c>
    </row>
    <row r="156" spans="1:21" x14ac:dyDescent="0.3">
      <c r="A156">
        <v>18661839</v>
      </c>
      <c r="B156" t="s">
        <v>154</v>
      </c>
      <c r="C156" t="str">
        <f>VLOOKUP(A156,budget!$A$5:$I$337,3,FALSE)</f>
        <v>웰리힐리파크</v>
      </c>
      <c r="D156" t="str">
        <f>VLOOKUP(B156,api!$A$2:$R$334,2,FALSE)</f>
        <v>횡성군</v>
      </c>
      <c r="E156" t="str">
        <f>VLOOKUP(B156,api!$A$2:$R$334,12,FALSE)</f>
        <v>강원특별자치도 횡성군 둔내면 두원리 204</v>
      </c>
      <c r="F156" t="s">
        <v>225</v>
      </c>
      <c r="G156" t="str">
        <f>VLOOKUP(A156,budget!$A$5:$I$337,4,FALSE)</f>
        <v>자연경관/자유관광지</v>
      </c>
      <c r="H156" t="s">
        <v>908</v>
      </c>
      <c r="I156" t="s">
        <v>909</v>
      </c>
      <c r="J156" t="str">
        <f>VLOOKUP(A156,budget!$A$5:$I$337,5,FALSE)</f>
        <v>상시 개방</v>
      </c>
      <c r="K156" t="str">
        <f>VLOOKUP(B156,api!$A$2:$R$334,14,FALSE)</f>
        <v>1544-8833</v>
      </c>
      <c r="L156" t="str">
        <f>VLOOKUP(B156,api!$A$2:$R$334,4,FALSE)</f>
        <v>https://www.wellihillipark.com/</v>
      </c>
      <c r="M156">
        <f>VLOOKUP(B156,api!$A$2:$R$334,5,FALSE)</f>
        <v>3.5</v>
      </c>
      <c r="N156">
        <f>VLOOKUP(B156,api!$A$2:$R$334,6,FALSE)</f>
        <v>212</v>
      </c>
      <c r="O156">
        <f>VLOOKUP(B156,api!$A$2:$R$334,7,FALSE)</f>
        <v>617</v>
      </c>
      <c r="P156">
        <f>VLOOKUP(A156,budget!$A$5:$I$337,6,FALSE)</f>
        <v>0</v>
      </c>
      <c r="Q156">
        <f>VLOOKUP(A156,budget!$A$5:$I$337,7,FALSE)</f>
        <v>0</v>
      </c>
      <c r="R156" t="str">
        <f>VLOOKUP(A156,budget!$A$5:$I$337,8,FALSE)</f>
        <v>상시 무료 관람 (식음료 및 개인소모품비 제외)</v>
      </c>
      <c r="S156" t="str">
        <f>VLOOKUP(A156,budget!$A$5:$I$337,9,FALSE)</f>
        <v>http://place.map.kakao.com/18661839</v>
      </c>
      <c r="T156">
        <f>VLOOKUP(B156,api!$A$2:$R$334,17,FALSE)</f>
        <v>128.250564270555</v>
      </c>
      <c r="U156">
        <f>VLOOKUP(B156,api!$A$2:$R$334,18,FALSE)</f>
        <v>37.490505233996402</v>
      </c>
    </row>
    <row r="157" spans="1:21" x14ac:dyDescent="0.3">
      <c r="A157">
        <v>24051055</v>
      </c>
      <c r="B157" t="s">
        <v>155</v>
      </c>
      <c r="C157" t="str">
        <f>VLOOKUP(A157,budget!$A$5:$I$337,3,FALSE)</f>
        <v>이사부사자공원</v>
      </c>
      <c r="D157" t="str">
        <f>VLOOKUP(B157,api!$A$2:$R$334,2,FALSE)</f>
        <v>삼척시</v>
      </c>
      <c r="E157" t="str">
        <f>VLOOKUP(B157,api!$A$2:$R$334,12,FALSE)</f>
        <v>강원특별자치도 삼척시 증산동 1</v>
      </c>
      <c r="F157" t="s">
        <v>226</v>
      </c>
      <c r="G157" t="str">
        <f>VLOOKUP(A157,budget!$A$5:$I$337,4,FALSE)</f>
        <v>자연경관/자유관광지</v>
      </c>
      <c r="J157" t="str">
        <f>VLOOKUP(A157,budget!$A$5:$I$337,5,FALSE)</f>
        <v>24시간 연중무휴 (자유 방문)</v>
      </c>
      <c r="K157">
        <f>VLOOKUP(B157,api!$A$2:$R$334,14,FALSE)</f>
        <v>0</v>
      </c>
      <c r="L157" t="str">
        <f>VLOOKUP(B157,api!$A$2:$R$334,4,FALSE)</f>
        <v>https://www.samcheok.go.kr/tour/01456/01463/01475.web</v>
      </c>
      <c r="M157">
        <f>VLOOKUP(B157,api!$A$2:$R$334,5,FALSE)</f>
        <v>4.2</v>
      </c>
      <c r="N157">
        <f>VLOOKUP(B157,api!$A$2:$R$334,6,FALSE)</f>
        <v>20</v>
      </c>
      <c r="O157">
        <f>VLOOKUP(B157,api!$A$2:$R$334,7,FALSE)</f>
        <v>62</v>
      </c>
      <c r="P157">
        <f>VLOOKUP(A157,budget!$A$5:$I$337,6,FALSE)</f>
        <v>0</v>
      </c>
      <c r="Q157">
        <f>VLOOKUP(A157,budget!$A$5:$I$337,7,FALSE)</f>
        <v>0</v>
      </c>
      <c r="R157" t="str">
        <f>VLOOKUP(A157,budget!$A$5:$I$337,8,FALSE)</f>
        <v>상시 무료 관람 (식음료 및 개인소모품비 제외)</v>
      </c>
      <c r="S157" t="str">
        <f>VLOOKUP(A157,budget!$A$5:$I$337,9,FALSE)</f>
        <v>http://place.map.kakao.com/24051055</v>
      </c>
      <c r="T157">
        <f>VLOOKUP(B157,api!$A$2:$R$334,17,FALSE)</f>
        <v>129.15948399604</v>
      </c>
      <c r="U157">
        <f>VLOOKUP(B157,api!$A$2:$R$334,18,FALSE)</f>
        <v>37.475170189186898</v>
      </c>
    </row>
    <row r="158" spans="1:21" x14ac:dyDescent="0.3">
      <c r="A158">
        <v>9402122</v>
      </c>
      <c r="B158" t="s">
        <v>156</v>
      </c>
      <c r="C158" t="str">
        <f>VLOOKUP(A158,budget!$A$5:$I$337,3,FALSE)</f>
        <v>이효석문학관</v>
      </c>
      <c r="D158" t="str">
        <f>VLOOKUP(B158,api!$A$2:$R$334,2,FALSE)</f>
        <v>평창군</v>
      </c>
      <c r="E158" t="str">
        <f>VLOOKUP(B158,api!$A$2:$R$334,12,FALSE)</f>
        <v>강원특별자치도 평창군 봉평면 창동리 544-3</v>
      </c>
      <c r="F158" t="s">
        <v>225</v>
      </c>
      <c r="G158" t="str">
        <f>VLOOKUP(A158,budget!$A$5:$I$337,4,FALSE)</f>
        <v>국공립 박물관/기념관</v>
      </c>
      <c r="H158" t="s">
        <v>792</v>
      </c>
      <c r="I158" t="s">
        <v>793</v>
      </c>
      <c r="J158" t="str">
        <f>VLOOKUP(A158,budget!$A$5:$I$337,5,FALSE)</f>
        <v>09:00 - 18:00 (월요일 휴무)</v>
      </c>
      <c r="K158" t="str">
        <f>VLOOKUP(B158,api!$A$2:$R$334,14,FALSE)</f>
        <v>033-330-2700</v>
      </c>
      <c r="L158" t="str">
        <f>VLOOKUP(B158,api!$A$2:$R$334,4,FALSE)</f>
        <v>http://www.hyoseok.net/</v>
      </c>
      <c r="M158">
        <f>VLOOKUP(B158,api!$A$2:$R$334,5,FALSE)</f>
        <v>4.0999999999999996</v>
      </c>
      <c r="N158">
        <f>VLOOKUP(B158,api!$A$2:$R$334,6,FALSE)</f>
        <v>20</v>
      </c>
      <c r="O158">
        <f>VLOOKUP(B158,api!$A$2:$R$334,7,FALSE)</f>
        <v>132</v>
      </c>
      <c r="P158">
        <f>VLOOKUP(A158,budget!$A$5:$I$337,6,FALSE)</f>
        <v>0</v>
      </c>
      <c r="Q158">
        <f>VLOOKUP(A158,budget!$A$5:$I$337,7,FALSE)</f>
        <v>3000</v>
      </c>
      <c r="R158" t="str">
        <f>VLOOKUP(A158,budget!$A$5:$I$337,8,FALSE)</f>
        <v>국공립 시설 무료 관람 또는 대인 기준 정가</v>
      </c>
      <c r="S158" t="str">
        <f>VLOOKUP(A158,budget!$A$5:$I$337,9,FALSE)</f>
        <v>http://place.map.kakao.com/9402122</v>
      </c>
      <c r="T158">
        <f>VLOOKUP(B158,api!$A$2:$R$334,17,FALSE)</f>
        <v>128.37027798864301</v>
      </c>
      <c r="U158">
        <f>VLOOKUP(B158,api!$A$2:$R$334,18,FALSE)</f>
        <v>37.613482272505202</v>
      </c>
    </row>
    <row r="159" spans="1:21" x14ac:dyDescent="0.3">
      <c r="A159">
        <v>8052398</v>
      </c>
      <c r="B159" t="s">
        <v>157</v>
      </c>
      <c r="C159" t="str">
        <f>VLOOKUP(A159,budget!$A$5:$I$337,3,FALSE)</f>
        <v>인구해변</v>
      </c>
      <c r="D159" t="str">
        <f>VLOOKUP(B159,api!$A$2:$R$334,2,FALSE)</f>
        <v>양양군</v>
      </c>
      <c r="E159" t="str">
        <f>VLOOKUP(B159,api!$A$2:$R$334,12,FALSE)</f>
        <v>강원특별자치도 양양군 현남면 인구리 630-2</v>
      </c>
      <c r="F159" t="s">
        <v>226</v>
      </c>
      <c r="G159" t="str">
        <f>VLOOKUP(A159,budget!$A$5:$I$337,4,FALSE)</f>
        <v>자연경관/자유관광지</v>
      </c>
      <c r="H159" t="s">
        <v>799</v>
      </c>
      <c r="I159" t="s">
        <v>800</v>
      </c>
      <c r="J159" t="str">
        <f>VLOOKUP(A159,budget!$A$5:$I$337,5,FALSE)</f>
        <v>24시간 연중무휴 (자유 방문)</v>
      </c>
      <c r="K159">
        <f>VLOOKUP(B159,api!$A$2:$R$334,14,FALSE)</f>
        <v>0</v>
      </c>
      <c r="L159" t="str">
        <f>VLOOKUP(B159,api!$A$2:$R$334,4,FALSE)</f>
        <v>https://tour.yangyang.go.kr/</v>
      </c>
      <c r="M159">
        <f>VLOOKUP(B159,api!$A$2:$R$334,5,FALSE)</f>
        <v>3.9</v>
      </c>
      <c r="N159">
        <f>VLOOKUP(B159,api!$A$2:$R$334,6,FALSE)</f>
        <v>37</v>
      </c>
      <c r="O159">
        <f>VLOOKUP(B159,api!$A$2:$R$334,7,FALSE)</f>
        <v>4</v>
      </c>
      <c r="P159">
        <f>VLOOKUP(A159,budget!$A$5:$I$337,6,FALSE)</f>
        <v>0</v>
      </c>
      <c r="Q159">
        <f>VLOOKUP(A159,budget!$A$5:$I$337,7,FALSE)</f>
        <v>0</v>
      </c>
      <c r="R159" t="str">
        <f>VLOOKUP(A159,budget!$A$5:$I$337,8,FALSE)</f>
        <v>상시 무료 관람 (식음료 및 개인소모품비 제외)</v>
      </c>
      <c r="S159" t="str">
        <f>VLOOKUP(A159,budget!$A$5:$I$337,9,FALSE)</f>
        <v>http://place.map.kakao.com/8052398</v>
      </c>
      <c r="T159">
        <f>VLOOKUP(B159,api!$A$2:$R$334,17,FALSE)</f>
        <v>128.76251334941199</v>
      </c>
      <c r="U159">
        <f>VLOOKUP(B159,api!$A$2:$R$334,18,FALSE)</f>
        <v>37.969106712369602</v>
      </c>
    </row>
    <row r="160" spans="1:21" x14ac:dyDescent="0.3">
      <c r="A160">
        <v>7911714</v>
      </c>
      <c r="B160" t="s">
        <v>158</v>
      </c>
      <c r="C160" t="str">
        <f>VLOOKUP(A160,budget!$A$5:$I$337,3,FALSE)</f>
        <v>인제산촌민속박물관</v>
      </c>
      <c r="D160" t="str">
        <f>VLOOKUP(B160,api!$A$2:$R$334,2,FALSE)</f>
        <v>인제군</v>
      </c>
      <c r="E160" t="str">
        <f>VLOOKUP(B160,api!$A$2:$R$334,12,FALSE)</f>
        <v>강원특별자치도 인제군 인제읍 상동리 415-1</v>
      </c>
      <c r="F160" t="s">
        <v>225</v>
      </c>
      <c r="G160" t="str">
        <f>VLOOKUP(A160,budget!$A$5:$I$337,4,FALSE)</f>
        <v>문화/전람/동굴/전망시설</v>
      </c>
      <c r="H160" t="s">
        <v>792</v>
      </c>
      <c r="I160" t="s">
        <v>793</v>
      </c>
      <c r="J160" t="str">
        <f>VLOOKUP(A160,budget!$A$5:$I$337,5,FALSE)</f>
        <v>09:00 - 18:00 (입장마감 17:00, 월요일 휴무)</v>
      </c>
      <c r="K160" t="str">
        <f>VLOOKUP(B160,api!$A$2:$R$334,14,FALSE)</f>
        <v>033-462-2086</v>
      </c>
      <c r="L160">
        <f>VLOOKUP(B160,api!$A$2:$R$334,4,FALSE)</f>
        <v>0</v>
      </c>
      <c r="M160">
        <f>VLOOKUP(B160,api!$A$2:$R$334,5,FALSE)</f>
        <v>4.4000000000000004</v>
      </c>
      <c r="N160">
        <f>VLOOKUP(B160,api!$A$2:$R$334,6,FALSE)</f>
        <v>10</v>
      </c>
      <c r="O160">
        <f>VLOOKUP(B160,api!$A$2:$R$334,7,FALSE)</f>
        <v>58</v>
      </c>
      <c r="P160">
        <f>VLOOKUP(A160,budget!$A$5:$I$337,6,FALSE)</f>
        <v>2000</v>
      </c>
      <c r="Q160">
        <f>VLOOKUP(A160,budget!$A$5:$I$337,7,FALSE)</f>
        <v>10000</v>
      </c>
      <c r="R160" t="str">
        <f>VLOOKUP(A160,budget!$A$5:$I$337,8,FALSE)</f>
        <v>대인 관람료 및 전망대/스카이워크 이용료 기준</v>
      </c>
      <c r="S160" t="str">
        <f>VLOOKUP(A160,budget!$A$5:$I$337,9,FALSE)</f>
        <v>http://place.map.kakao.com/7911714</v>
      </c>
      <c r="T160">
        <f>VLOOKUP(B160,api!$A$2:$R$334,17,FALSE)</f>
        <v>128.171769806132</v>
      </c>
      <c r="U160">
        <f>VLOOKUP(B160,api!$A$2:$R$334,18,FALSE)</f>
        <v>38.062895814324897</v>
      </c>
    </row>
    <row r="161" spans="1:21" x14ac:dyDescent="0.3">
      <c r="A161">
        <v>19883903</v>
      </c>
      <c r="B161" t="s">
        <v>159</v>
      </c>
      <c r="C161" t="str">
        <f>VLOOKUP(A161,budget!$A$5:$I$337,3,FALSE)</f>
        <v>인제스피디움 피트니스클럽</v>
      </c>
      <c r="D161" t="str">
        <f>VLOOKUP(B161,api!$A$2:$R$334,2,FALSE)</f>
        <v>인제군</v>
      </c>
      <c r="E161" t="str">
        <f>VLOOKUP(B161,api!$A$2:$R$334,12,FALSE)</f>
        <v>강원특별자치도 인제군 기린면 북리 1500</v>
      </c>
      <c r="F161" t="s">
        <v>226</v>
      </c>
      <c r="G161" t="str">
        <f>VLOOKUP(A161,budget!$A$5:$I$337,4,FALSE)</f>
        <v>자연경관/자유관광지</v>
      </c>
      <c r="J161" t="str">
        <f>VLOOKUP(A161,budget!$A$5:$I$337,5,FALSE)</f>
        <v>상시 개방</v>
      </c>
      <c r="K161" t="str">
        <f>VLOOKUP(B161,api!$A$2:$R$334,14,FALSE)</f>
        <v>1644-3366</v>
      </c>
      <c r="L161" t="str">
        <f>VLOOKUP(B161,api!$A$2:$R$334,4,FALSE)</f>
        <v>http://www.speedium.co.kr</v>
      </c>
      <c r="M161">
        <f>VLOOKUP(B161,api!$A$2:$R$334,5,FALSE)</f>
        <v>4.0999999999999996</v>
      </c>
      <c r="N161">
        <f>VLOOKUP(B161,api!$A$2:$R$334,6,FALSE)</f>
        <v>14</v>
      </c>
      <c r="O161">
        <f>VLOOKUP(B161,api!$A$2:$R$334,7,FALSE)</f>
        <v>0</v>
      </c>
      <c r="P161">
        <f>VLOOKUP(A161,budget!$A$5:$I$337,6,FALSE)</f>
        <v>0</v>
      </c>
      <c r="Q161">
        <f>VLOOKUP(A161,budget!$A$5:$I$337,7,FALSE)</f>
        <v>0</v>
      </c>
      <c r="R161" t="str">
        <f>VLOOKUP(A161,budget!$A$5:$I$337,8,FALSE)</f>
        <v>상시 무료 관람 (식음료 및 개인소모품비 제외)</v>
      </c>
      <c r="S161" t="str">
        <f>VLOOKUP(A161,budget!$A$5:$I$337,9,FALSE)</f>
        <v>http://place.map.kakao.com/19883903</v>
      </c>
      <c r="T161">
        <f>VLOOKUP(B161,api!$A$2:$R$334,17,FALSE)</f>
        <v>128.29506936388901</v>
      </c>
      <c r="U161">
        <f>VLOOKUP(B161,api!$A$2:$R$334,18,FALSE)</f>
        <v>38.0010985665145</v>
      </c>
    </row>
    <row r="162" spans="1:21" x14ac:dyDescent="0.3">
      <c r="A162">
        <v>10254800</v>
      </c>
      <c r="B162" t="s">
        <v>161</v>
      </c>
      <c r="C162" t="str">
        <f>VLOOKUP(A162,budget!$A$5:$I$337,3,FALSE)</f>
        <v>장릉 단종역사관</v>
      </c>
      <c r="D162" t="str">
        <f>VLOOKUP(B162,api!$A$2:$R$334,2,FALSE)</f>
        <v>영월군</v>
      </c>
      <c r="E162" t="str">
        <f>VLOOKUP(B162,api!$A$2:$R$334,12,FALSE)</f>
        <v>강원특별자치도 영월군 영월읍 영흥리 1089</v>
      </c>
      <c r="F162" t="s">
        <v>226</v>
      </c>
      <c r="G162" t="str">
        <f>VLOOKUP(A162,budget!$A$5:$I$337,4,FALSE)</f>
        <v>자연경관/자유관광지</v>
      </c>
      <c r="H162" t="s">
        <v>792</v>
      </c>
      <c r="I162" t="s">
        <v>793</v>
      </c>
      <c r="J162" t="str">
        <f>VLOOKUP(A162,budget!$A$5:$I$337,5,FALSE)</f>
        <v>05:00 - 18:00 (일몰 시까지)</v>
      </c>
      <c r="K162" t="str">
        <f>VLOOKUP(B162,api!$A$2:$R$334,14,FALSE)</f>
        <v>033-372-3088</v>
      </c>
      <c r="L162" t="str">
        <f>VLOOKUP(B162,api!$A$2:$R$334,4,FALSE)</f>
        <v>http://www.ywmuseum.com/museum/index.do?museum_no=8</v>
      </c>
      <c r="M162">
        <f>VLOOKUP(B162,api!$A$2:$R$334,5,FALSE)</f>
        <v>4.5</v>
      </c>
      <c r="N162">
        <f>VLOOKUP(B162,api!$A$2:$R$334,6,FALSE)</f>
        <v>11</v>
      </c>
      <c r="O162">
        <f>VLOOKUP(B162,api!$A$2:$R$334,7,FALSE)</f>
        <v>2</v>
      </c>
      <c r="P162">
        <f>VLOOKUP(A162,budget!$A$5:$I$337,6,FALSE)</f>
        <v>0</v>
      </c>
      <c r="Q162">
        <f>VLOOKUP(A162,budget!$A$5:$I$337,7,FALSE)</f>
        <v>0</v>
      </c>
      <c r="R162" t="str">
        <f>VLOOKUP(A162,budget!$A$5:$I$337,8,FALSE)</f>
        <v>상시 무료 관람 (식음료 및 개인소모품비 제외)</v>
      </c>
      <c r="S162" t="str">
        <f>VLOOKUP(A162,budget!$A$5:$I$337,9,FALSE)</f>
        <v>http://place.map.kakao.com/10254800</v>
      </c>
      <c r="T162">
        <f>VLOOKUP(B162,api!$A$2:$R$334,17,FALSE)</f>
        <v>128.45474979660901</v>
      </c>
      <c r="U162">
        <f>VLOOKUP(B162,api!$A$2:$R$334,18,FALSE)</f>
        <v>37.195503322006701</v>
      </c>
    </row>
    <row r="163" spans="1:21" x14ac:dyDescent="0.3">
      <c r="A163">
        <v>26952521</v>
      </c>
      <c r="B163" t="s">
        <v>162</v>
      </c>
      <c r="C163" t="str">
        <f>VLOOKUP(A163,budget!$A$5:$I$337,3,FALSE)</f>
        <v>장호항</v>
      </c>
      <c r="D163" t="str">
        <f>VLOOKUP(B163,api!$A$2:$R$334,2,FALSE)</f>
        <v>삼척시</v>
      </c>
      <c r="E163" t="str">
        <f>VLOOKUP(B163,api!$A$2:$R$334,12,FALSE)</f>
        <v>강원특별자치도 삼척시 근덕면 장호리 1-13</v>
      </c>
      <c r="F163" t="s">
        <v>226</v>
      </c>
      <c r="G163" t="str">
        <f>VLOOKUP(A163,budget!$A$5:$I$337,4,FALSE)</f>
        <v>자연경관/자유관광지</v>
      </c>
      <c r="J163" t="str">
        <f>VLOOKUP(A163,budget!$A$5:$I$337,5,FALSE)</f>
        <v>24시간 연중무휴 (자유 방문)</v>
      </c>
      <c r="K163" t="str">
        <f>VLOOKUP(B163,api!$A$2:$R$334,14,FALSE)</f>
        <v>033-570-3412</v>
      </c>
      <c r="L163" t="str">
        <f>VLOOKUP(B163,api!$A$2:$R$334,4,FALSE)</f>
        <v>https://www.samcheok.go.kr/tour.web</v>
      </c>
      <c r="M163">
        <f>VLOOKUP(B163,api!$A$2:$R$334,5,FALSE)</f>
        <v>3.8</v>
      </c>
      <c r="N163">
        <f>VLOOKUP(B163,api!$A$2:$R$334,6,FALSE)</f>
        <v>90</v>
      </c>
      <c r="O163">
        <f>VLOOKUP(B163,api!$A$2:$R$334,7,FALSE)</f>
        <v>17</v>
      </c>
      <c r="P163">
        <f>VLOOKUP(A163,budget!$A$5:$I$337,6,FALSE)</f>
        <v>0</v>
      </c>
      <c r="Q163">
        <f>VLOOKUP(A163,budget!$A$5:$I$337,7,FALSE)</f>
        <v>0</v>
      </c>
      <c r="R163" t="str">
        <f>VLOOKUP(A163,budget!$A$5:$I$337,8,FALSE)</f>
        <v>상시 무료 관람 (식음료 및 개인소모품비 제외)</v>
      </c>
      <c r="S163" t="str">
        <f>VLOOKUP(A163,budget!$A$5:$I$337,9,FALSE)</f>
        <v>http://place.map.kakao.com/26952521</v>
      </c>
      <c r="T163">
        <f>VLOOKUP(B163,api!$A$2:$R$334,17,FALSE)</f>
        <v>129.31786815499501</v>
      </c>
      <c r="U163">
        <f>VLOOKUP(B163,api!$A$2:$R$334,18,FALSE)</f>
        <v>37.288522240181202</v>
      </c>
    </row>
    <row r="164" spans="1:21" x14ac:dyDescent="0.3">
      <c r="A164">
        <v>748327736</v>
      </c>
      <c r="B164" t="s">
        <v>163</v>
      </c>
      <c r="C164" t="str">
        <f>VLOOKUP(A164,budget!$A$5:$I$337,3,FALSE)</f>
        <v>장호항전망대</v>
      </c>
      <c r="D164" t="str">
        <f>VLOOKUP(B164,api!$A$2:$R$334,2,FALSE)</f>
        <v>삼척시</v>
      </c>
      <c r="E164" t="str">
        <f>VLOOKUP(B164,api!$A$2:$R$334,12,FALSE)</f>
        <v>강원특별자치도 삼척시 근덕면 장호리 417</v>
      </c>
      <c r="F164" t="s">
        <v>226</v>
      </c>
      <c r="G164" t="str">
        <f>VLOOKUP(A164,budget!$A$5:$I$337,4,FALSE)</f>
        <v>자연경관/자유관광지</v>
      </c>
      <c r="H164" t="s">
        <v>799</v>
      </c>
      <c r="I164" t="s">
        <v>800</v>
      </c>
      <c r="J164" t="str">
        <f>VLOOKUP(A164,budget!$A$5:$I$337,5,FALSE)</f>
        <v>24시간 연중무휴 (자유 방문)</v>
      </c>
      <c r="K164">
        <f>VLOOKUP(B164,api!$A$2:$R$334,14,FALSE)</f>
        <v>0</v>
      </c>
      <c r="L164" t="str">
        <f>VLOOKUP(B164,api!$A$2:$R$334,4,FALSE)</f>
        <v>https://www.samcheok.go.kr/tour.web</v>
      </c>
      <c r="M164">
        <f>VLOOKUP(B164,api!$A$2:$R$334,5,FALSE)</f>
        <v>4</v>
      </c>
      <c r="N164">
        <f>VLOOKUP(B164,api!$A$2:$R$334,6,FALSE)</f>
        <v>27</v>
      </c>
      <c r="O164">
        <f>VLOOKUP(B164,api!$A$2:$R$334,7,FALSE)</f>
        <v>2</v>
      </c>
      <c r="P164">
        <f>VLOOKUP(A164,budget!$A$5:$I$337,6,FALSE)</f>
        <v>0</v>
      </c>
      <c r="Q164">
        <f>VLOOKUP(A164,budget!$A$5:$I$337,7,FALSE)</f>
        <v>0</v>
      </c>
      <c r="R164" t="str">
        <f>VLOOKUP(A164,budget!$A$5:$I$337,8,FALSE)</f>
        <v>상시 무료 관람 (식음료 및 개인소모품비 제외)</v>
      </c>
      <c r="S164" t="str">
        <f>VLOOKUP(A164,budget!$A$5:$I$337,9,FALSE)</f>
        <v>http://place.map.kakao.com/748327736</v>
      </c>
      <c r="T164">
        <f>VLOOKUP(B164,api!$A$2:$R$334,17,FALSE)</f>
        <v>129.31794151557699</v>
      </c>
      <c r="U164">
        <f>VLOOKUP(B164,api!$A$2:$R$334,18,FALSE)</f>
        <v>37.289747927780098</v>
      </c>
    </row>
    <row r="165" spans="1:21" x14ac:dyDescent="0.3">
      <c r="A165">
        <v>681597926</v>
      </c>
      <c r="B165" t="s">
        <v>164</v>
      </c>
      <c r="C165" t="str">
        <f>VLOOKUP(A165,budget!$A$5:$I$337,3,FALSE)</f>
        <v>젊은달와이파크</v>
      </c>
      <c r="D165" t="str">
        <f>VLOOKUP(B165,api!$A$2:$R$334,2,FALSE)</f>
        <v>영월군</v>
      </c>
      <c r="E165" t="str">
        <f>VLOOKUP(B165,api!$A$2:$R$334,12,FALSE)</f>
        <v>강원특별자치도 영월군 주천면 주천리 1376-36</v>
      </c>
      <c r="F165" t="s">
        <v>226</v>
      </c>
      <c r="G165" t="str">
        <f>VLOOKUP(A165,budget!$A$5:$I$337,4,FALSE)</f>
        <v>테마파크/민간관광지</v>
      </c>
      <c r="H165" t="s">
        <v>792</v>
      </c>
      <c r="I165" t="s">
        <v>793</v>
      </c>
      <c r="J165" t="str">
        <f>VLOOKUP(A165,budget!$A$5:$I$337,5,FALSE)</f>
        <v>10:00 - 18:00 (연중무휴/입장마감 17:00)</v>
      </c>
      <c r="K165" t="str">
        <f>VLOOKUP(B165,api!$A$2:$R$334,14,FALSE)</f>
        <v>033-372-9411</v>
      </c>
      <c r="L165" t="str">
        <f>VLOOKUP(B165,api!$A$2:$R$334,4,FALSE)</f>
        <v>https://museumhaslla.com/ypark_main#ypark1</v>
      </c>
      <c r="M165">
        <f>VLOOKUP(B165,api!$A$2:$R$334,5,FALSE)</f>
        <v>3.8</v>
      </c>
      <c r="N165">
        <f>VLOOKUP(B165,api!$A$2:$R$334,6,FALSE)</f>
        <v>86</v>
      </c>
      <c r="O165">
        <f>VLOOKUP(B165,api!$A$2:$R$334,7,FALSE)</f>
        <v>385</v>
      </c>
      <c r="P165">
        <f>VLOOKUP(A165,budget!$A$5:$I$337,6,FALSE)</f>
        <v>8000</v>
      </c>
      <c r="Q165">
        <f>VLOOKUP(A165,budget!$A$5:$I$337,7,FALSE)</f>
        <v>20000</v>
      </c>
      <c r="R165" t="str">
        <f>VLOOKUP(A165,budget!$A$5:$I$337,8,FALSE)</f>
        <v>대인 정상 입장료 기준 (할인혜택/통합권 따라 변동)</v>
      </c>
      <c r="S165" t="str">
        <f>VLOOKUP(A165,budget!$A$5:$I$337,9,FALSE)</f>
        <v>http://place.map.kakao.com/681597926</v>
      </c>
      <c r="T165">
        <f>VLOOKUP(B165,api!$A$2:$R$334,17,FALSE)</f>
        <v>128.26929461888</v>
      </c>
      <c r="U165">
        <f>VLOOKUP(B165,api!$A$2:$R$334,18,FALSE)</f>
        <v>37.273875528513699</v>
      </c>
    </row>
    <row r="166" spans="1:21" x14ac:dyDescent="0.3">
      <c r="A166">
        <v>2045844394</v>
      </c>
      <c r="B166" t="s">
        <v>165</v>
      </c>
      <c r="C166" t="str">
        <f>VLOOKUP(A166,budget!$A$5:$I$337,3,FALSE)</f>
        <v>정동심곡 바다부채길</v>
      </c>
      <c r="D166" t="str">
        <f>VLOOKUP(B166,api!$A$2:$R$334,2,FALSE)</f>
        <v>강릉시</v>
      </c>
      <c r="E166" t="str">
        <f>VLOOKUP(B166,api!$A$2:$R$334,12,FALSE)</f>
        <v>강원특별자치도 강릉시 강동면 심곡리</v>
      </c>
      <c r="F166" t="s">
        <v>226</v>
      </c>
      <c r="G166" t="str">
        <f>VLOOKUP(A166,budget!$A$5:$I$337,4,FALSE)</f>
        <v>자연경관/자유관광지</v>
      </c>
      <c r="H166" t="s">
        <v>799</v>
      </c>
      <c r="I166" t="s">
        <v>800</v>
      </c>
      <c r="J166" t="str">
        <f>VLOOKUP(A166,budget!$A$5:$I$337,5,FALSE)</f>
        <v>상시 개방</v>
      </c>
      <c r="K166">
        <f>VLOOKUP(B166,api!$A$2:$R$334,14,FALSE)</f>
        <v>0</v>
      </c>
      <c r="L166" t="str">
        <f>VLOOKUP(B166,api!$A$2:$R$334,4,FALSE)</f>
        <v>https://searoad.gtdc.or.kr/</v>
      </c>
      <c r="M166">
        <f>VLOOKUP(B166,api!$A$2:$R$334,5,FALSE)</f>
        <v>3.8</v>
      </c>
      <c r="N166">
        <f>VLOOKUP(B166,api!$A$2:$R$334,6,FALSE)</f>
        <v>20</v>
      </c>
      <c r="O166">
        <f>VLOOKUP(B166,api!$A$2:$R$334,7,FALSE)</f>
        <v>6</v>
      </c>
      <c r="P166">
        <f>VLOOKUP(A166,budget!$A$5:$I$337,6,FALSE)</f>
        <v>0</v>
      </c>
      <c r="Q166">
        <f>VLOOKUP(A166,budget!$A$5:$I$337,7,FALSE)</f>
        <v>0</v>
      </c>
      <c r="R166" t="str">
        <f>VLOOKUP(A166,budget!$A$5:$I$337,8,FALSE)</f>
        <v>상시 무료 관람 (식음료 및 개인소모품비 제외)</v>
      </c>
      <c r="S166" t="str">
        <f>VLOOKUP(A166,budget!$A$5:$I$337,9,FALSE)</f>
        <v>http://place.map.kakao.com/2045844394</v>
      </c>
      <c r="T166">
        <f>VLOOKUP(B166,api!$A$2:$R$334,17,FALSE)</f>
        <v>129.056702150934</v>
      </c>
      <c r="U166">
        <f>VLOOKUP(B166,api!$A$2:$R$334,18,FALSE)</f>
        <v>37.6731420380735</v>
      </c>
    </row>
    <row r="167" spans="1:21" x14ac:dyDescent="0.3">
      <c r="A167">
        <v>10713257</v>
      </c>
      <c r="B167" t="s">
        <v>166</v>
      </c>
      <c r="C167" t="str">
        <f>VLOOKUP(A167,budget!$A$5:$I$337,3,FALSE)</f>
        <v>정선레일바이크</v>
      </c>
      <c r="D167" t="str">
        <f>VLOOKUP(B167,api!$A$2:$R$334,2,FALSE)</f>
        <v>정선군</v>
      </c>
      <c r="E167" t="str">
        <f>VLOOKUP(B167,api!$A$2:$R$334,12,FALSE)</f>
        <v>강원특별자치도 정선군 여량면 구절리 290-4</v>
      </c>
      <c r="F167" t="s">
        <v>226</v>
      </c>
      <c r="G167" t="str">
        <f>VLOOKUP(A167,budget!$A$5:$I$337,4,FALSE)</f>
        <v>체험/액티비티</v>
      </c>
      <c r="J167" t="str">
        <f>VLOOKUP(A167,budget!$A$5:$I$337,5,FALSE)</f>
        <v>09:00 - 17:30 (회차별 운행)</v>
      </c>
      <c r="K167" t="str">
        <f>VLOOKUP(B167,api!$A$2:$R$334,14,FALSE)</f>
        <v>033-563-8787</v>
      </c>
      <c r="L167" t="str">
        <f>VLOOKUP(B167,api!$A$2:$R$334,4,FALSE)</f>
        <v>https://www.railtrip.co.kr/homepage/jeongseon/</v>
      </c>
      <c r="M167">
        <f>VLOOKUP(B167,api!$A$2:$R$334,5,FALSE)</f>
        <v>4.0999999999999996</v>
      </c>
      <c r="N167">
        <f>VLOOKUP(B167,api!$A$2:$R$334,6,FALSE)</f>
        <v>49</v>
      </c>
      <c r="O167">
        <f>VLOOKUP(B167,api!$A$2:$R$334,7,FALSE)</f>
        <v>157</v>
      </c>
      <c r="P167">
        <f>VLOOKUP(A167,budget!$A$5:$I$337,6,FALSE)</f>
        <v>10000</v>
      </c>
      <c r="Q167">
        <f>VLOOKUP(A167,budget!$A$5:$I$337,7,FALSE)</f>
        <v>35000</v>
      </c>
      <c r="R167" t="str">
        <f>VLOOKUP(A167,budget!$A$5:$I$337,8,FALSE)</f>
        <v>1인 승선/체험권 기준 (코스 및 이용 상품에 따라 변동)</v>
      </c>
      <c r="S167" t="str">
        <f>VLOOKUP(A167,budget!$A$5:$I$337,9,FALSE)</f>
        <v>http://place.map.kakao.com/10713257</v>
      </c>
      <c r="T167">
        <f>VLOOKUP(B167,api!$A$2:$R$334,17,FALSE)</f>
        <v>128.72876907945999</v>
      </c>
      <c r="U167">
        <f>VLOOKUP(B167,api!$A$2:$R$334,18,FALSE)</f>
        <v>37.5170778445408</v>
      </c>
    </row>
    <row r="168" spans="1:21" x14ac:dyDescent="0.3">
      <c r="A168">
        <v>11728631</v>
      </c>
      <c r="B168" t="s">
        <v>167</v>
      </c>
      <c r="C168" t="str">
        <f>VLOOKUP(A168,budget!$A$5:$I$337,3,FALSE)</f>
        <v>정선아라리촌</v>
      </c>
      <c r="D168" t="str">
        <f>VLOOKUP(B168,api!$A$2:$R$334,2,FALSE)</f>
        <v>정선군</v>
      </c>
      <c r="E168" t="str">
        <f>VLOOKUP(B168,api!$A$2:$R$334,12,FALSE)</f>
        <v>강원특별자치도 정선군 정선읍 애산리 560</v>
      </c>
      <c r="F168" t="s">
        <v>226</v>
      </c>
      <c r="G168" t="str">
        <f>VLOOKUP(A168,budget!$A$5:$I$337,4,FALSE)</f>
        <v>자연경관/자유관광지</v>
      </c>
      <c r="J168" t="str">
        <f>VLOOKUP(A168,budget!$A$5:$I$337,5,FALSE)</f>
        <v>상시 개방</v>
      </c>
      <c r="K168" t="str">
        <f>VLOOKUP(B168,api!$A$2:$R$334,14,FALSE)</f>
        <v>033-560-3023</v>
      </c>
      <c r="L168" t="str">
        <f>VLOOKUP(B168,api!$A$2:$R$334,4,FALSE)</f>
        <v>https://www.jeongseon.go.kr/tour</v>
      </c>
      <c r="M168">
        <f>VLOOKUP(B168,api!$A$2:$R$334,5,FALSE)</f>
        <v>4.3</v>
      </c>
      <c r="N168">
        <f>VLOOKUP(B168,api!$A$2:$R$334,6,FALSE)</f>
        <v>26</v>
      </c>
      <c r="O168">
        <f>VLOOKUP(B168,api!$A$2:$R$334,7,FALSE)</f>
        <v>68</v>
      </c>
      <c r="P168">
        <f>VLOOKUP(A168,budget!$A$5:$I$337,6,FALSE)</f>
        <v>0</v>
      </c>
      <c r="Q168">
        <f>VLOOKUP(A168,budget!$A$5:$I$337,7,FALSE)</f>
        <v>0</v>
      </c>
      <c r="R168" t="str">
        <f>VLOOKUP(A168,budget!$A$5:$I$337,8,FALSE)</f>
        <v>상시 무료 관람 (식음료 및 개인소모품비 제외)</v>
      </c>
      <c r="S168" t="str">
        <f>VLOOKUP(A168,budget!$A$5:$I$337,9,FALSE)</f>
        <v>http://place.map.kakao.com/11728631</v>
      </c>
      <c r="T168">
        <f>VLOOKUP(B168,api!$A$2:$R$334,17,FALSE)</f>
        <v>128.67191168983101</v>
      </c>
      <c r="U168">
        <f>VLOOKUP(B168,api!$A$2:$R$334,18,FALSE)</f>
        <v>37.374597307744502</v>
      </c>
    </row>
    <row r="169" spans="1:21" x14ac:dyDescent="0.3">
      <c r="A169">
        <v>8078270</v>
      </c>
      <c r="B169" t="s">
        <v>168</v>
      </c>
      <c r="C169" t="str">
        <f>VLOOKUP(A169,budget!$A$5:$I$337,3,FALSE)</f>
        <v>정암사</v>
      </c>
      <c r="D169" t="str">
        <f>VLOOKUP(B169,api!$A$2:$R$334,2,FALSE)</f>
        <v>정선군</v>
      </c>
      <c r="E169" t="str">
        <f>VLOOKUP(B169,api!$A$2:$R$334,12,FALSE)</f>
        <v>강원특별자치도 정선군 고한읍 고한리 2</v>
      </c>
      <c r="F169" t="s">
        <v>226</v>
      </c>
      <c r="G169" t="str">
        <f>VLOOKUP(A169,budget!$A$5:$I$337,4,FALSE)</f>
        <v>자연경관/자유관광지</v>
      </c>
      <c r="J169" t="str">
        <f>VLOOKUP(A169,budget!$A$5:$I$337,5,FALSE)</f>
        <v>05:00 - 18:00 (일몰 시까지)</v>
      </c>
      <c r="K169" t="str">
        <f>VLOOKUP(B169,api!$A$2:$R$334,14,FALSE)</f>
        <v>033-591-2469</v>
      </c>
      <c r="L169" t="str">
        <f>VLOOKUP(B169,api!$A$2:$R$334,4,FALSE)</f>
        <v>http://www.jungamsa.com/</v>
      </c>
      <c r="M169">
        <f>VLOOKUP(B169,api!$A$2:$R$334,5,FALSE)</f>
        <v>4.4000000000000004</v>
      </c>
      <c r="N169">
        <f>VLOOKUP(B169,api!$A$2:$R$334,6,FALSE)</f>
        <v>27</v>
      </c>
      <c r="O169">
        <f>VLOOKUP(B169,api!$A$2:$R$334,7,FALSE)</f>
        <v>131</v>
      </c>
      <c r="P169">
        <f>VLOOKUP(A169,budget!$A$5:$I$337,6,FALSE)</f>
        <v>0</v>
      </c>
      <c r="Q169">
        <f>VLOOKUP(A169,budget!$A$5:$I$337,7,FALSE)</f>
        <v>0</v>
      </c>
      <c r="R169" t="str">
        <f>VLOOKUP(A169,budget!$A$5:$I$337,8,FALSE)</f>
        <v>상시 무료 관람 (식음료 및 개인소모품비 제외)</v>
      </c>
      <c r="S169" t="str">
        <f>VLOOKUP(A169,budget!$A$5:$I$337,9,FALSE)</f>
        <v>http://place.map.kakao.com/8078270</v>
      </c>
      <c r="T169">
        <f>VLOOKUP(B169,api!$A$2:$R$334,17,FALSE)</f>
        <v>128.892591829537</v>
      </c>
      <c r="U169">
        <f>VLOOKUP(B169,api!$A$2:$R$334,18,FALSE)</f>
        <v>37.183042279273998</v>
      </c>
    </row>
    <row r="170" spans="1:21" x14ac:dyDescent="0.3">
      <c r="A170">
        <v>11209011</v>
      </c>
      <c r="B170" t="s">
        <v>169</v>
      </c>
      <c r="C170" t="str">
        <f>VLOOKUP(A170,budget!$A$5:$I$337,3,FALSE)</f>
        <v>제이드가든</v>
      </c>
      <c r="D170" t="str">
        <f>VLOOKUP(B170,api!$A$2:$R$334,2,FALSE)</f>
        <v>춘천시</v>
      </c>
      <c r="E170" t="str">
        <f>VLOOKUP(B170,api!$A$2:$R$334,12,FALSE)</f>
        <v>강원특별자치도 춘천시 남산면 서천리 412</v>
      </c>
      <c r="F170" t="s">
        <v>226</v>
      </c>
      <c r="G170" t="str">
        <f>VLOOKUP(A170,budget!$A$5:$I$337,4,FALSE)</f>
        <v>테마파크/민간관광지</v>
      </c>
      <c r="H170" t="s">
        <v>799</v>
      </c>
      <c r="I170" t="s">
        <v>800</v>
      </c>
      <c r="J170" t="str">
        <f>VLOOKUP(A170,budget!$A$5:$I$337,5,FALSE)</f>
        <v>10:00 - 18:00 (연중무휴/입장마감 17:00)</v>
      </c>
      <c r="K170" t="str">
        <f>VLOOKUP(B170,api!$A$2:$R$334,14,FALSE)</f>
        <v>033-260-8300</v>
      </c>
      <c r="L170" t="str">
        <f>VLOOKUP(B170,api!$A$2:$R$334,4,FALSE)</f>
        <v>http://tour.chuncheon.go.kr/</v>
      </c>
      <c r="M170">
        <f>VLOOKUP(B170,api!$A$2:$R$334,5,FALSE)</f>
        <v>3.9</v>
      </c>
      <c r="N170">
        <f>VLOOKUP(B170,api!$A$2:$R$334,6,FALSE)</f>
        <v>181</v>
      </c>
      <c r="O170">
        <f>VLOOKUP(B170,api!$A$2:$R$334,7,FALSE)</f>
        <v>236</v>
      </c>
      <c r="P170">
        <f>VLOOKUP(A170,budget!$A$5:$I$337,6,FALSE)</f>
        <v>8000</v>
      </c>
      <c r="Q170">
        <f>VLOOKUP(A170,budget!$A$5:$I$337,7,FALSE)</f>
        <v>20000</v>
      </c>
      <c r="R170" t="str">
        <f>VLOOKUP(A170,budget!$A$5:$I$337,8,FALSE)</f>
        <v>대인 정상 입장료 기준 (할인혜택/통합권 따라 변동)</v>
      </c>
      <c r="S170" t="str">
        <f>VLOOKUP(A170,budget!$A$5:$I$337,9,FALSE)</f>
        <v>http://place.map.kakao.com/11209011</v>
      </c>
      <c r="T170">
        <f>VLOOKUP(B170,api!$A$2:$R$334,17,FALSE)</f>
        <v>127.54214100487501</v>
      </c>
      <c r="U170">
        <f>VLOOKUP(B170,api!$A$2:$R$334,18,FALSE)</f>
        <v>37.8327473089074</v>
      </c>
    </row>
    <row r="171" spans="1:21" x14ac:dyDescent="0.3">
      <c r="A171">
        <v>25478174</v>
      </c>
      <c r="B171" t="s">
        <v>170</v>
      </c>
      <c r="C171" t="str">
        <f>VLOOKUP(A171,budget!$A$5:$I$337,3,FALSE)</f>
        <v>조경철천문대</v>
      </c>
      <c r="D171" t="str">
        <f>VLOOKUP(B171,api!$A$2:$R$334,2,FALSE)</f>
        <v>화천군</v>
      </c>
      <c r="E171" t="str">
        <f>VLOOKUP(B171,api!$A$2:$R$334,12,FALSE)</f>
        <v>강원특별자치도 화천군 사내면 광덕리 산 273-105</v>
      </c>
      <c r="F171" t="s">
        <v>225</v>
      </c>
      <c r="G171" t="str">
        <f>VLOOKUP(A171,budget!$A$5:$I$337,4,FALSE)</f>
        <v>문화/전람/동굴/전망시설</v>
      </c>
      <c r="H171" t="s">
        <v>792</v>
      </c>
      <c r="I171" t="s">
        <v>793</v>
      </c>
      <c r="J171" t="str">
        <f>VLOOKUP(A171,budget!$A$5:$I$337,5,FALSE)</f>
        <v>09:00 - 18:00 (입장마감 17:00, 월요일 휴무)</v>
      </c>
      <c r="K171" t="str">
        <f>VLOOKUP(B171,api!$A$2:$R$334,14,FALSE)</f>
        <v>033-818-1929</v>
      </c>
      <c r="L171" t="str">
        <f>VLOOKUP(B171,api!$A$2:$R$334,4,FALSE)</f>
        <v>http://www.apollostar.kr/</v>
      </c>
      <c r="M171">
        <f>VLOOKUP(B171,api!$A$2:$R$334,5,FALSE)</f>
        <v>4.9000000000000004</v>
      </c>
      <c r="N171">
        <f>VLOOKUP(B171,api!$A$2:$R$334,6,FALSE)</f>
        <v>44</v>
      </c>
      <c r="O171">
        <f>VLOOKUP(B171,api!$A$2:$R$334,7,FALSE)</f>
        <v>110</v>
      </c>
      <c r="P171">
        <f>VLOOKUP(A171,budget!$A$5:$I$337,6,FALSE)</f>
        <v>2000</v>
      </c>
      <c r="Q171">
        <f>VLOOKUP(A171,budget!$A$5:$I$337,7,FALSE)</f>
        <v>10000</v>
      </c>
      <c r="R171" t="str">
        <f>VLOOKUP(A171,budget!$A$5:$I$337,8,FALSE)</f>
        <v>대인 관람료 및 전망대/스카이워크 이용료 기준</v>
      </c>
      <c r="S171" t="str">
        <f>VLOOKUP(A171,budget!$A$5:$I$337,9,FALSE)</f>
        <v>http://place.map.kakao.com/25478174</v>
      </c>
      <c r="T171">
        <f>VLOOKUP(B171,api!$A$2:$R$334,17,FALSE)</f>
        <v>127.43400555647</v>
      </c>
      <c r="U171">
        <f>VLOOKUP(B171,api!$A$2:$R$334,18,FALSE)</f>
        <v>38.118581131937702</v>
      </c>
    </row>
    <row r="172" spans="1:21" x14ac:dyDescent="0.3">
      <c r="A172">
        <v>10793255</v>
      </c>
      <c r="B172" t="s">
        <v>171</v>
      </c>
      <c r="C172" t="str">
        <f>VLOOKUP(A172,budget!$A$5:$I$337,3,FALSE)</f>
        <v>죽서루</v>
      </c>
      <c r="D172" t="str">
        <f>VLOOKUP(B172,api!$A$2:$R$334,2,FALSE)</f>
        <v>삼척시</v>
      </c>
      <c r="E172" t="str">
        <f>VLOOKUP(B172,api!$A$2:$R$334,12,FALSE)</f>
        <v>강원특별자치도 삼척시 성내동 8-2</v>
      </c>
      <c r="F172" t="s">
        <v>226</v>
      </c>
      <c r="G172" t="str">
        <f>VLOOKUP(A172,budget!$A$5:$I$337,4,FALSE)</f>
        <v>자연경관/자유관광지</v>
      </c>
      <c r="J172" t="str">
        <f>VLOOKUP(A172,budget!$A$5:$I$337,5,FALSE)</f>
        <v>상시 개방</v>
      </c>
      <c r="K172" t="str">
        <f>VLOOKUP(B172,api!$A$2:$R$334,14,FALSE)</f>
        <v>033-570-3670</v>
      </c>
      <c r="L172" t="str">
        <f>VLOOKUP(B172,api!$A$2:$R$334,4,FALSE)</f>
        <v>https://www.samcheok.go.kr/tour.web</v>
      </c>
      <c r="M172">
        <f>VLOOKUP(B172,api!$A$2:$R$334,5,FALSE)</f>
        <v>4</v>
      </c>
      <c r="N172">
        <f>VLOOKUP(B172,api!$A$2:$R$334,6,FALSE)</f>
        <v>41</v>
      </c>
      <c r="O172">
        <f>VLOOKUP(B172,api!$A$2:$R$334,7,FALSE)</f>
        <v>170</v>
      </c>
      <c r="P172">
        <f>VLOOKUP(A172,budget!$A$5:$I$337,6,FALSE)</f>
        <v>0</v>
      </c>
      <c r="Q172">
        <f>VLOOKUP(A172,budget!$A$5:$I$337,7,FALSE)</f>
        <v>0</v>
      </c>
      <c r="R172" t="str">
        <f>VLOOKUP(A172,budget!$A$5:$I$337,8,FALSE)</f>
        <v>상시 무료 관람 (식음료 및 개인소모품비 제외)</v>
      </c>
      <c r="S172" t="str">
        <f>VLOOKUP(A172,budget!$A$5:$I$337,9,FALSE)</f>
        <v>http://place.map.kakao.com/10793255</v>
      </c>
      <c r="T172">
        <f>VLOOKUP(B172,api!$A$2:$R$334,17,FALSE)</f>
        <v>129.160538443793</v>
      </c>
      <c r="U172">
        <f>VLOOKUP(B172,api!$A$2:$R$334,18,FALSE)</f>
        <v>37.440889993161797</v>
      </c>
    </row>
    <row r="173" spans="1:21" x14ac:dyDescent="0.3">
      <c r="A173">
        <v>26556637</v>
      </c>
      <c r="B173" t="s">
        <v>172</v>
      </c>
      <c r="C173" t="str">
        <f>VLOOKUP(A173,budget!$A$5:$I$337,3,FALSE)</f>
        <v>춘천중도물레길</v>
      </c>
      <c r="D173" t="str">
        <f>VLOOKUP(B173,api!$A$2:$R$334,2,FALSE)</f>
        <v>춘천시</v>
      </c>
      <c r="E173" t="str">
        <f>VLOOKUP(B173,api!$A$2:$R$334,12,FALSE)</f>
        <v>강원특별자치도 춘천시 삼천동 468-2</v>
      </c>
      <c r="F173" t="s">
        <v>226</v>
      </c>
      <c r="G173" t="str">
        <f>VLOOKUP(A173,budget!$A$5:$I$337,4,FALSE)</f>
        <v>자연경관/자유관광지</v>
      </c>
      <c r="J173" t="str">
        <f>VLOOKUP(A173,budget!$A$5:$I$337,5,FALSE)</f>
        <v>상시 개방</v>
      </c>
      <c r="K173" t="str">
        <f>VLOOKUP(B173,api!$A$2:$R$334,14,FALSE)</f>
        <v>033-243-7177</v>
      </c>
      <c r="L173" t="str">
        <f>VLOOKUP(B173,api!$A$2:$R$334,4,FALSE)</f>
        <v>http://www.mullegil.org/</v>
      </c>
      <c r="M173">
        <f>VLOOKUP(B173,api!$A$2:$R$334,5,FALSE)</f>
        <v>3.8</v>
      </c>
      <c r="N173">
        <f>VLOOKUP(B173,api!$A$2:$R$334,6,FALSE)</f>
        <v>59</v>
      </c>
      <c r="O173">
        <f>VLOOKUP(B173,api!$A$2:$R$334,7,FALSE)</f>
        <v>256</v>
      </c>
      <c r="P173">
        <f>VLOOKUP(A173,budget!$A$5:$I$337,6,FALSE)</f>
        <v>0</v>
      </c>
      <c r="Q173">
        <f>VLOOKUP(A173,budget!$A$5:$I$337,7,FALSE)</f>
        <v>0</v>
      </c>
      <c r="R173" t="str">
        <f>VLOOKUP(A173,budget!$A$5:$I$337,8,FALSE)</f>
        <v>상시 무료 관람 (식음료 및 개인소모품비 제외)</v>
      </c>
      <c r="S173" t="str">
        <f>VLOOKUP(A173,budget!$A$5:$I$337,9,FALSE)</f>
        <v>http://place.map.kakao.com/26556637</v>
      </c>
      <c r="T173">
        <f>VLOOKUP(B173,api!$A$2:$R$334,17,FALSE)</f>
        <v>127.68995324197201</v>
      </c>
      <c r="U173">
        <f>VLOOKUP(B173,api!$A$2:$R$334,18,FALSE)</f>
        <v>37.870825205229799</v>
      </c>
    </row>
    <row r="174" spans="1:21" x14ac:dyDescent="0.3">
      <c r="A174">
        <v>8074259</v>
      </c>
      <c r="B174" t="s">
        <v>173</v>
      </c>
      <c r="C174" t="str">
        <f>VLOOKUP(A174,budget!$A$5:$I$337,3,FALSE)</f>
        <v>직탕폭포</v>
      </c>
      <c r="D174" t="str">
        <f>VLOOKUP(B174,api!$A$2:$R$334,2,FALSE)</f>
        <v>철원군</v>
      </c>
      <c r="E174" t="str">
        <f>VLOOKUP(B174,api!$A$2:$R$334,12,FALSE)</f>
        <v>강원특별자치도 철원군 동송읍 장흥리 725</v>
      </c>
      <c r="F174" t="s">
        <v>226</v>
      </c>
      <c r="G174" t="str">
        <f>VLOOKUP(A174,budget!$A$5:$I$337,4,FALSE)</f>
        <v>자연경관/자유관광지</v>
      </c>
      <c r="J174" t="str">
        <f>VLOOKUP(A174,budget!$A$5:$I$337,5,FALSE)</f>
        <v>24시간 연중무휴 (자유 방문)</v>
      </c>
      <c r="K174" t="str">
        <f>VLOOKUP(B174,api!$A$2:$R$334,14,FALSE)</f>
        <v>033-450-5365</v>
      </c>
      <c r="L174">
        <f>VLOOKUP(B174,api!$A$2:$R$334,4,FALSE)</f>
        <v>0</v>
      </c>
      <c r="M174">
        <f>VLOOKUP(B174,api!$A$2:$R$334,5,FALSE)</f>
        <v>3.7</v>
      </c>
      <c r="N174">
        <f>VLOOKUP(B174,api!$A$2:$R$334,6,FALSE)</f>
        <v>56</v>
      </c>
      <c r="O174">
        <f>VLOOKUP(B174,api!$A$2:$R$334,7,FALSE)</f>
        <v>109</v>
      </c>
      <c r="P174">
        <f>VLOOKUP(A174,budget!$A$5:$I$337,6,FALSE)</f>
        <v>0</v>
      </c>
      <c r="Q174">
        <f>VLOOKUP(A174,budget!$A$5:$I$337,7,FALSE)</f>
        <v>0</v>
      </c>
      <c r="R174" t="str">
        <f>VLOOKUP(A174,budget!$A$5:$I$337,8,FALSE)</f>
        <v>상시 무료 관람 (식음료 및 개인소모품비 제외)</v>
      </c>
      <c r="S174" t="str">
        <f>VLOOKUP(A174,budget!$A$5:$I$337,9,FALSE)</f>
        <v>http://place.map.kakao.com/8074259</v>
      </c>
      <c r="T174">
        <f>VLOOKUP(B174,api!$A$2:$R$334,17,FALSE)</f>
        <v>127.26626482547699</v>
      </c>
      <c r="U174">
        <f>VLOOKUP(B174,api!$A$2:$R$334,18,FALSE)</f>
        <v>38.209583838174503</v>
      </c>
    </row>
    <row r="175" spans="1:21" x14ac:dyDescent="0.3">
      <c r="A175">
        <v>27257731</v>
      </c>
      <c r="B175" t="s">
        <v>174</v>
      </c>
      <c r="C175" t="str">
        <f>VLOOKUP(A175,budget!$A$5:$I$337,3,FALSE)</f>
        <v>척야산문화수목원</v>
      </c>
      <c r="D175" t="str">
        <f>VLOOKUP(B175,api!$A$2:$R$334,2,FALSE)</f>
        <v>홍천군</v>
      </c>
      <c r="E175" t="str">
        <f>VLOOKUP(B175,api!$A$2:$R$334,12,FALSE)</f>
        <v>강원특별자치도 홍천군 내촌면 물걸리 306-1</v>
      </c>
      <c r="F175" t="s">
        <v>226</v>
      </c>
      <c r="G175" t="str">
        <f>VLOOKUP(A175,budget!$A$5:$I$337,4,FALSE)</f>
        <v>휴양림/수목원</v>
      </c>
      <c r="H175" t="s">
        <v>799</v>
      </c>
      <c r="I175" t="s">
        <v>800</v>
      </c>
      <c r="J175" t="str">
        <f>VLOOKUP(A175,budget!$A$5:$I$337,5,FALSE)</f>
        <v>09:00 - 18:00 (하절기) / 09:00 - 17:00 (동절기)</v>
      </c>
      <c r="K175" t="str">
        <f>VLOOKUP(B175,api!$A$2:$R$334,14,FALSE)</f>
        <v>033-435-6546</v>
      </c>
      <c r="L175" t="str">
        <f>VLOOKUP(B175,api!$A$2:$R$334,4,FALSE)</f>
        <v>https://www.hongcheon.go.kr/</v>
      </c>
      <c r="M175">
        <f>VLOOKUP(B175,api!$A$2:$R$334,5,FALSE)</f>
        <v>4.5999999999999996</v>
      </c>
      <c r="N175">
        <f>VLOOKUP(B175,api!$A$2:$R$334,6,FALSE)</f>
        <v>19</v>
      </c>
      <c r="O175">
        <f>VLOOKUP(B175,api!$A$2:$R$334,7,FALSE)</f>
        <v>25</v>
      </c>
      <c r="P175">
        <f>VLOOKUP(A175,budget!$A$5:$I$337,6,FALSE)</f>
        <v>1000</v>
      </c>
      <c r="Q175">
        <f>VLOOKUP(A175,budget!$A$5:$I$337,7,FALSE)</f>
        <v>5000</v>
      </c>
      <c r="R175" t="str">
        <f>VLOOKUP(A175,budget!$A$5:$I$337,8,FALSE)</f>
        <v>국공립/민간 휴양림 입장료 기준 (숙박/체험비 제외)</v>
      </c>
      <c r="S175" t="str">
        <f>VLOOKUP(A175,budget!$A$5:$I$337,9,FALSE)</f>
        <v>http://place.map.kakao.com/27257731</v>
      </c>
      <c r="T175">
        <f>VLOOKUP(B175,api!$A$2:$R$334,17,FALSE)</f>
        <v>128.158384428864</v>
      </c>
      <c r="U175">
        <f>VLOOKUP(B175,api!$A$2:$R$334,18,FALSE)</f>
        <v>37.781967003151301</v>
      </c>
    </row>
    <row r="176" spans="1:21" x14ac:dyDescent="0.3">
      <c r="A176">
        <v>8100113</v>
      </c>
      <c r="B176" t="s">
        <v>175</v>
      </c>
      <c r="C176" t="str">
        <f>VLOOKUP(A176,budget!$A$5:$I$337,3,FALSE)</f>
        <v>천곡황금박쥐동굴</v>
      </c>
      <c r="D176" t="str">
        <f>VLOOKUP(B176,api!$A$2:$R$334,2,FALSE)</f>
        <v>동해시</v>
      </c>
      <c r="E176" t="str">
        <f>VLOOKUP(B176,api!$A$2:$R$334,12,FALSE)</f>
        <v>강원특별자치도 동해시 천곡동 1003</v>
      </c>
      <c r="F176" t="s">
        <v>225</v>
      </c>
      <c r="G176" t="str">
        <f>VLOOKUP(A176,budget!$A$5:$I$337,4,FALSE)</f>
        <v>문화/전람/동굴/전망시설</v>
      </c>
      <c r="J176" t="str">
        <f>VLOOKUP(A176,budget!$A$5:$I$337,5,FALSE)</f>
        <v>09:00 - 18:00 (매표마감 17:00)</v>
      </c>
      <c r="K176" t="str">
        <f>VLOOKUP(B176,api!$A$2:$R$334,14,FALSE)</f>
        <v>033-539-3630</v>
      </c>
      <c r="L176" t="str">
        <f>VLOOKUP(B176,api!$A$2:$R$334,4,FALSE)</f>
        <v>https://www.dh.go.kr/tour/index.htm</v>
      </c>
      <c r="M176">
        <f>VLOOKUP(B176,api!$A$2:$R$334,5,FALSE)</f>
        <v>4.4000000000000004</v>
      </c>
      <c r="N176">
        <f>VLOOKUP(B176,api!$A$2:$R$334,6,FALSE)</f>
        <v>152</v>
      </c>
      <c r="O176">
        <f>VLOOKUP(B176,api!$A$2:$R$334,7,FALSE)</f>
        <v>432</v>
      </c>
      <c r="P176">
        <f>VLOOKUP(A176,budget!$A$5:$I$337,6,FALSE)</f>
        <v>2000</v>
      </c>
      <c r="Q176">
        <f>VLOOKUP(A176,budget!$A$5:$I$337,7,FALSE)</f>
        <v>10000</v>
      </c>
      <c r="R176" t="str">
        <f>VLOOKUP(A176,budget!$A$5:$I$337,8,FALSE)</f>
        <v>대인 관람료 및 전망대/스카이워크 이용료 기준</v>
      </c>
      <c r="S176" t="str">
        <f>VLOOKUP(A176,budget!$A$5:$I$337,9,FALSE)</f>
        <v>http://place.map.kakao.com/8100113</v>
      </c>
      <c r="T176">
        <f>VLOOKUP(B176,api!$A$2:$R$334,17,FALSE)</f>
        <v>129.11016383248401</v>
      </c>
      <c r="U176">
        <f>VLOOKUP(B176,api!$A$2:$R$334,18,FALSE)</f>
        <v>37.517345701931099</v>
      </c>
    </row>
    <row r="177" spans="1:21" x14ac:dyDescent="0.3">
      <c r="A177">
        <v>25411516</v>
      </c>
      <c r="B177" t="s">
        <v>176</v>
      </c>
      <c r="C177" t="str">
        <f>VLOOKUP(A177,budget!$A$5:$I$337,3,FALSE)</f>
        <v>철암탄광역사촌</v>
      </c>
      <c r="D177" t="str">
        <f>VLOOKUP(B177,api!$A$2:$R$334,2,FALSE)</f>
        <v>태백시</v>
      </c>
      <c r="E177" t="str">
        <f>VLOOKUP(B177,api!$A$2:$R$334,12,FALSE)</f>
        <v>강원특별자치도 태백시 철암동 403-156</v>
      </c>
      <c r="F177" t="s">
        <v>226</v>
      </c>
      <c r="G177" t="str">
        <f>VLOOKUP(A177,budget!$A$5:$I$337,4,FALSE)</f>
        <v>자연경관/자유관광지</v>
      </c>
      <c r="J177" t="str">
        <f>VLOOKUP(A177,budget!$A$5:$I$337,5,FALSE)</f>
        <v>05:00 - 18:00 (일몰 시까지)</v>
      </c>
      <c r="K177" t="str">
        <f>VLOOKUP(B177,api!$A$2:$R$334,14,FALSE)</f>
        <v>033-582-8070</v>
      </c>
      <c r="L177" t="str">
        <f>VLOOKUP(B177,api!$A$2:$R$334,4,FALSE)</f>
        <v>https://tour.taebaek.go.kr/</v>
      </c>
      <c r="M177">
        <f>VLOOKUP(B177,api!$A$2:$R$334,5,FALSE)</f>
        <v>4.0999999999999996</v>
      </c>
      <c r="N177">
        <f>VLOOKUP(B177,api!$A$2:$R$334,6,FALSE)</f>
        <v>54</v>
      </c>
      <c r="O177">
        <f>VLOOKUP(B177,api!$A$2:$R$334,7,FALSE)</f>
        <v>125</v>
      </c>
      <c r="P177">
        <f>VLOOKUP(A177,budget!$A$5:$I$337,6,FALSE)</f>
        <v>0</v>
      </c>
      <c r="Q177">
        <f>VLOOKUP(A177,budget!$A$5:$I$337,7,FALSE)</f>
        <v>0</v>
      </c>
      <c r="R177" t="str">
        <f>VLOOKUP(A177,budget!$A$5:$I$337,8,FALSE)</f>
        <v>상시 무료 관람 (식음료 및 개인소모품비 제외)</v>
      </c>
      <c r="S177" t="str">
        <f>VLOOKUP(A177,budget!$A$5:$I$337,9,FALSE)</f>
        <v>http://place.map.kakao.com/25411516</v>
      </c>
      <c r="T177">
        <f>VLOOKUP(B177,api!$A$2:$R$334,17,FALSE)</f>
        <v>129.03714821048899</v>
      </c>
      <c r="U177">
        <f>VLOOKUP(B177,api!$A$2:$R$334,18,FALSE)</f>
        <v>37.114153833765897</v>
      </c>
    </row>
    <row r="178" spans="1:21" x14ac:dyDescent="0.3">
      <c r="A178">
        <v>183546962</v>
      </c>
      <c r="B178" t="s">
        <v>177</v>
      </c>
      <c r="C178" t="str">
        <f>VLOOKUP(A178,budget!$A$5:$I$337,3,FALSE)</f>
        <v>철원역사문화공원</v>
      </c>
      <c r="D178" t="str">
        <f>VLOOKUP(B178,api!$A$2:$R$334,2,FALSE)</f>
        <v>철원군</v>
      </c>
      <c r="E178" t="str">
        <f>VLOOKUP(B178,api!$A$2:$R$334,12,FALSE)</f>
        <v>강원특별자치도 철원군 철원읍 사요리 366-1</v>
      </c>
      <c r="F178" t="s">
        <v>226</v>
      </c>
      <c r="G178" t="str">
        <f>VLOOKUP(A178,budget!$A$5:$I$337,4,FALSE)</f>
        <v>자연경관/자유관광지</v>
      </c>
      <c r="J178" t="str">
        <f>VLOOKUP(A178,budget!$A$5:$I$337,5,FALSE)</f>
        <v>24시간 연중무휴 (자유 방문)</v>
      </c>
      <c r="K178" t="str">
        <f>VLOOKUP(B178,api!$A$2:$R$334,14,FALSE)</f>
        <v>070-7374-6401</v>
      </c>
      <c r="L178" t="str">
        <f>VLOOKUP(B178,api!$A$2:$R$334,4,FALSE)</f>
        <v>https://www.cwg.go.kr/tour/index.do</v>
      </c>
      <c r="M178">
        <f>VLOOKUP(B178,api!$A$2:$R$334,5,FALSE)</f>
        <v>4.4000000000000004</v>
      </c>
      <c r="N178">
        <f>VLOOKUP(B178,api!$A$2:$R$334,6,FALSE)</f>
        <v>49</v>
      </c>
      <c r="O178">
        <f>VLOOKUP(B178,api!$A$2:$R$334,7,FALSE)</f>
        <v>217</v>
      </c>
      <c r="P178">
        <f>VLOOKUP(A178,budget!$A$5:$I$337,6,FALSE)</f>
        <v>0</v>
      </c>
      <c r="Q178">
        <f>VLOOKUP(A178,budget!$A$5:$I$337,7,FALSE)</f>
        <v>0</v>
      </c>
      <c r="R178" t="str">
        <f>VLOOKUP(A178,budget!$A$5:$I$337,8,FALSE)</f>
        <v>상시 무료 관람 (식음료 및 개인소모품비 제외)</v>
      </c>
      <c r="S178" t="str">
        <f>VLOOKUP(A178,budget!$A$5:$I$337,9,FALSE)</f>
        <v>http://place.map.kakao.com/183546962</v>
      </c>
      <c r="T178">
        <f>VLOOKUP(B178,api!$A$2:$R$334,17,FALSE)</f>
        <v>127.20005024197199</v>
      </c>
      <c r="U178">
        <f>VLOOKUP(B178,api!$A$2:$R$334,18,FALSE)</f>
        <v>38.254985189533897</v>
      </c>
    </row>
    <row r="179" spans="1:21" x14ac:dyDescent="0.3">
      <c r="A179">
        <v>1117877754</v>
      </c>
      <c r="B179" t="s">
        <v>178</v>
      </c>
      <c r="C179" t="str">
        <f>VLOOKUP(A179,budget!$A$5:$I$337,3,FALSE)</f>
        <v>철원한탄강 주상절리길</v>
      </c>
      <c r="D179" t="str">
        <f>VLOOKUP(B179,api!$A$2:$R$334,2,FALSE)</f>
        <v>철원군</v>
      </c>
      <c r="E179" t="str">
        <f>VLOOKUP(B179,api!$A$2:$R$334,12,FALSE)</f>
        <v>강원특별자치도 철원군 갈말읍 군탄리 산 78-2</v>
      </c>
      <c r="F179" t="s">
        <v>226</v>
      </c>
      <c r="G179" t="str">
        <f>VLOOKUP(A179,budget!$A$5:$I$337,4,FALSE)</f>
        <v>문화/전람/동굴/전망시설</v>
      </c>
      <c r="J179" t="str">
        <f>VLOOKUP(A179,budget!$A$5:$I$337,5,FALSE)</f>
        <v>09:00 - 18:00 (입장마감 17:00, 월요일 휴무)</v>
      </c>
      <c r="K179" t="str">
        <f>VLOOKUP(B179,api!$A$2:$R$334,14,FALSE)</f>
        <v>0507-1431-2225</v>
      </c>
      <c r="L179" t="str">
        <f>VLOOKUP(B179,api!$A$2:$R$334,4,FALSE)</f>
        <v>https://www.cwg.go.kr/tour/index.do</v>
      </c>
      <c r="M179">
        <f>VLOOKUP(B179,api!$A$2:$R$334,5,FALSE)</f>
        <v>4.5</v>
      </c>
      <c r="N179">
        <f>VLOOKUP(B179,api!$A$2:$R$334,6,FALSE)</f>
        <v>108</v>
      </c>
      <c r="O179">
        <f>VLOOKUP(B179,api!$A$2:$R$334,7,FALSE)</f>
        <v>156</v>
      </c>
      <c r="P179">
        <f>VLOOKUP(A179,budget!$A$5:$I$337,6,FALSE)</f>
        <v>2000</v>
      </c>
      <c r="Q179">
        <f>VLOOKUP(A179,budget!$A$5:$I$337,7,FALSE)</f>
        <v>10000</v>
      </c>
      <c r="R179" t="str">
        <f>VLOOKUP(A179,budget!$A$5:$I$337,8,FALSE)</f>
        <v>대인 관람료 및 전망대/스카이워크 이용료 기준</v>
      </c>
      <c r="S179" t="str">
        <f>VLOOKUP(A179,budget!$A$5:$I$337,9,FALSE)</f>
        <v>http://place.map.kakao.com/1117877754</v>
      </c>
      <c r="T179">
        <f>VLOOKUP(B179,api!$A$2:$R$334,17,FALSE)</f>
        <v>127.299913183288</v>
      </c>
      <c r="U179">
        <f>VLOOKUP(B179,api!$A$2:$R$334,18,FALSE)</f>
        <v>38.174499246207297</v>
      </c>
    </row>
    <row r="180" spans="1:21" x14ac:dyDescent="0.3">
      <c r="A180">
        <v>886460112</v>
      </c>
      <c r="B180" t="s">
        <v>179</v>
      </c>
      <c r="C180" t="str">
        <f>VLOOKUP(A180,budget!$A$5:$I$337,3,FALSE)</f>
        <v>한탄강 물윗길</v>
      </c>
      <c r="D180" t="str">
        <f>VLOOKUP(B180,api!$A$2:$R$334,2,FALSE)</f>
        <v>철원군</v>
      </c>
      <c r="E180" t="str">
        <f>VLOOKUP(B180,api!$A$2:$R$334,12,FALSE)</f>
        <v>강원특별자치도 철원군 갈말읍 상사리 522-11</v>
      </c>
      <c r="F180" t="s">
        <v>226</v>
      </c>
      <c r="G180" t="str">
        <f>VLOOKUP(A180,budget!$A$5:$I$337,4,FALSE)</f>
        <v>문화/전람/동굴/전망시설</v>
      </c>
      <c r="J180" t="str">
        <f>VLOOKUP(A180,budget!$A$5:$I$337,5,FALSE)</f>
        <v>09:00 - 18:00 (입장마감 17:00, 월요일 휴무)</v>
      </c>
      <c r="K180">
        <f>VLOOKUP(B180,api!$A$2:$R$334,14,FALSE)</f>
        <v>0</v>
      </c>
      <c r="L180" t="str">
        <f>VLOOKUP(B180,api!$A$2:$R$334,4,FALSE)</f>
        <v>https://www.cwg.go.kr/tour/contents.do?key=1478</v>
      </c>
      <c r="M180">
        <f>VLOOKUP(B180,api!$A$2:$R$334,5,FALSE)</f>
        <v>3.8</v>
      </c>
      <c r="N180">
        <f>VLOOKUP(B180,api!$A$2:$R$334,6,FALSE)</f>
        <v>27</v>
      </c>
      <c r="O180">
        <f>VLOOKUP(B180,api!$A$2:$R$334,7,FALSE)</f>
        <v>22</v>
      </c>
      <c r="P180">
        <f>VLOOKUP(A180,budget!$A$5:$I$337,6,FALSE)</f>
        <v>2000</v>
      </c>
      <c r="Q180">
        <f>VLOOKUP(A180,budget!$A$5:$I$337,7,FALSE)</f>
        <v>10000</v>
      </c>
      <c r="R180" t="str">
        <f>VLOOKUP(A180,budget!$A$5:$I$337,8,FALSE)</f>
        <v>대인 관람료 및 전망대/스카이워크 이용료 기준</v>
      </c>
      <c r="S180" t="str">
        <f>VLOOKUP(A180,budget!$A$5:$I$337,9,FALSE)</f>
        <v>http://place.map.kakao.com/886460112</v>
      </c>
      <c r="T180">
        <f>VLOOKUP(B180,api!$A$2:$R$334,17,FALSE)</f>
        <v>127.270560016281</v>
      </c>
      <c r="U180">
        <f>VLOOKUP(B180,api!$A$2:$R$334,18,FALSE)</f>
        <v>38.206135301091997</v>
      </c>
    </row>
    <row r="181" spans="1:21" x14ac:dyDescent="0.3">
      <c r="A181">
        <v>898493847</v>
      </c>
      <c r="B181" t="s">
        <v>180</v>
      </c>
      <c r="C181" t="str">
        <f>VLOOKUP(A181,budget!$A$5:$I$337,3,FALSE)</f>
        <v>한탄강은하수교</v>
      </c>
      <c r="D181" t="str">
        <f>VLOOKUP(B181,api!$A$2:$R$334,2,FALSE)</f>
        <v>철원군</v>
      </c>
      <c r="E181" t="str">
        <f>VLOOKUP(B181,api!$A$2:$R$334,12,FALSE)</f>
        <v>강원특별자치도 철원군 갈말읍 상사리 산 38-3</v>
      </c>
      <c r="F181" t="s">
        <v>226</v>
      </c>
      <c r="G181" t="str">
        <f>VLOOKUP(A181,budget!$A$5:$I$337,4,FALSE)</f>
        <v>자연경관/자유관광지</v>
      </c>
      <c r="J181" t="str">
        <f>VLOOKUP(A181,budget!$A$5:$I$337,5,FALSE)</f>
        <v>상시 개방</v>
      </c>
      <c r="K181">
        <f>VLOOKUP(B181,api!$A$2:$R$334,14,FALSE)</f>
        <v>0</v>
      </c>
      <c r="L181" t="str">
        <f>VLOOKUP(B181,api!$A$2:$R$334,4,FALSE)</f>
        <v>https://www.cwg.go.kr/tour/selectTourCntntsWebView.do?tourNo=428&amp;key=572&amp;ctgry=10</v>
      </c>
      <c r="M181">
        <f>VLOOKUP(B181,api!$A$2:$R$334,5,FALSE)</f>
        <v>3.8</v>
      </c>
      <c r="N181">
        <f>VLOOKUP(B181,api!$A$2:$R$334,6,FALSE)</f>
        <v>27</v>
      </c>
      <c r="O181">
        <f>VLOOKUP(B181,api!$A$2:$R$334,7,FALSE)</f>
        <v>22</v>
      </c>
      <c r="P181">
        <f>VLOOKUP(A181,budget!$A$5:$I$337,6,FALSE)</f>
        <v>0</v>
      </c>
      <c r="Q181">
        <f>VLOOKUP(A181,budget!$A$5:$I$337,7,FALSE)</f>
        <v>0</v>
      </c>
      <c r="R181" t="str">
        <f>VLOOKUP(A181,budget!$A$5:$I$337,8,FALSE)</f>
        <v>상시 무료 관람 (식음료 및 개인소모품비 제외)</v>
      </c>
      <c r="S181" t="str">
        <f>VLOOKUP(A181,budget!$A$5:$I$337,9,FALSE)</f>
        <v>http://place.map.kakao.com/898493847</v>
      </c>
      <c r="T181">
        <f>VLOOKUP(B181,api!$A$2:$R$334,17,FALSE)</f>
        <v>127.278464938734</v>
      </c>
      <c r="U181">
        <f>VLOOKUP(B181,api!$A$2:$R$334,18,FALSE)</f>
        <v>38.2006285609096</v>
      </c>
    </row>
    <row r="182" spans="1:21" x14ac:dyDescent="0.3">
      <c r="A182">
        <v>8109027</v>
      </c>
      <c r="B182" t="s">
        <v>181</v>
      </c>
      <c r="C182" t="str">
        <f>VLOOKUP(A182,budget!$A$5:$I$337,3,FALSE)</f>
        <v>청간정</v>
      </c>
      <c r="D182" t="str">
        <f>VLOOKUP(B182,api!$A$2:$R$334,2,FALSE)</f>
        <v>고성군</v>
      </c>
      <c r="E182" t="str">
        <f>VLOOKUP(B182,api!$A$2:$R$334,12,FALSE)</f>
        <v>강원특별자치도 고성군 토성면 청간리 93</v>
      </c>
      <c r="F182" t="s">
        <v>226</v>
      </c>
      <c r="G182" t="str">
        <f>VLOOKUP(A182,budget!$A$5:$I$337,4,FALSE)</f>
        <v>자연경관/자유관광지</v>
      </c>
      <c r="J182" t="str">
        <f>VLOOKUP(A182,budget!$A$5:$I$337,5,FALSE)</f>
        <v>상시 개방</v>
      </c>
      <c r="K182">
        <f>VLOOKUP(B182,api!$A$2:$R$334,14,FALSE)</f>
        <v>0</v>
      </c>
      <c r="L182" t="str">
        <f>VLOOKUP(B182,api!$A$2:$R$334,4,FALSE)</f>
        <v>https://www.gwgs.go.kr/tour/sub01_0503.do</v>
      </c>
      <c r="M182">
        <f>VLOOKUP(B182,api!$A$2:$R$334,5,FALSE)</f>
        <v>4.3</v>
      </c>
      <c r="N182">
        <f>VLOOKUP(B182,api!$A$2:$R$334,6,FALSE)</f>
        <v>53</v>
      </c>
      <c r="O182">
        <f>VLOOKUP(B182,api!$A$2:$R$334,7,FALSE)</f>
        <v>114</v>
      </c>
      <c r="P182">
        <f>VLOOKUP(A182,budget!$A$5:$I$337,6,FALSE)</f>
        <v>0</v>
      </c>
      <c r="Q182">
        <f>VLOOKUP(A182,budget!$A$5:$I$337,7,FALSE)</f>
        <v>0</v>
      </c>
      <c r="R182" t="str">
        <f>VLOOKUP(A182,budget!$A$5:$I$337,8,FALSE)</f>
        <v>상시 무료 관람 (식음료 및 개인소모품비 제외)</v>
      </c>
      <c r="S182" t="str">
        <f>VLOOKUP(A182,budget!$A$5:$I$337,9,FALSE)</f>
        <v>http://place.map.kakao.com/8109027</v>
      </c>
      <c r="T182">
        <f>VLOOKUP(B182,api!$A$2:$R$334,17,FALSE)</f>
        <v>128.55836401768801</v>
      </c>
      <c r="U182">
        <f>VLOOKUP(B182,api!$A$2:$R$334,18,FALSE)</f>
        <v>38.264409707791501</v>
      </c>
    </row>
    <row r="183" spans="1:21" x14ac:dyDescent="0.3">
      <c r="A183">
        <v>17583186</v>
      </c>
      <c r="B183" t="s">
        <v>182</v>
      </c>
      <c r="C183" t="str">
        <f>VLOOKUP(A183,budget!$A$5:$I$337,3,FALSE)</f>
        <v>청령포</v>
      </c>
      <c r="D183" t="str">
        <f>VLOOKUP(B183,api!$A$2:$R$334,2,FALSE)</f>
        <v>영월군</v>
      </c>
      <c r="E183" t="str">
        <f>VLOOKUP(B183,api!$A$2:$R$334,12,FALSE)</f>
        <v>강원특별자치도 영월군 남면 광천리 산 68</v>
      </c>
      <c r="F183" t="s">
        <v>226</v>
      </c>
      <c r="G183" t="str">
        <f>VLOOKUP(A183,budget!$A$5:$I$337,4,FALSE)</f>
        <v>자연경관/자유관광지</v>
      </c>
      <c r="J183" t="str">
        <f>VLOOKUP(A183,budget!$A$5:$I$337,5,FALSE)</f>
        <v>상시 개방</v>
      </c>
      <c r="K183" t="str">
        <f>VLOOKUP(B183,api!$A$2:$R$334,14,FALSE)</f>
        <v>033-374-1317</v>
      </c>
      <c r="L183" t="str">
        <f>VLOOKUP(B183,api!$A$2:$R$334,4,FALSE)</f>
        <v>https://www.yw.go.kr/tour/index.do</v>
      </c>
      <c r="M183">
        <f>VLOOKUP(B183,api!$A$2:$R$334,5,FALSE)</f>
        <v>4.7</v>
      </c>
      <c r="N183">
        <f>VLOOKUP(B183,api!$A$2:$R$334,6,FALSE)</f>
        <v>256</v>
      </c>
      <c r="O183">
        <f>VLOOKUP(B183,api!$A$2:$R$334,7,FALSE)</f>
        <v>330</v>
      </c>
      <c r="P183">
        <f>VLOOKUP(A183,budget!$A$5:$I$337,6,FALSE)</f>
        <v>0</v>
      </c>
      <c r="Q183">
        <f>VLOOKUP(A183,budget!$A$5:$I$337,7,FALSE)</f>
        <v>0</v>
      </c>
      <c r="R183" t="str">
        <f>VLOOKUP(A183,budget!$A$5:$I$337,8,FALSE)</f>
        <v>상시 무료 관람 (식음료 및 개인소모품비 제외)</v>
      </c>
      <c r="S183" t="str">
        <f>VLOOKUP(A183,budget!$A$5:$I$337,9,FALSE)</f>
        <v>http://place.map.kakao.com/17583186</v>
      </c>
      <c r="T183">
        <f>VLOOKUP(B183,api!$A$2:$R$334,17,FALSE)</f>
        <v>128.444604045143</v>
      </c>
      <c r="U183">
        <f>VLOOKUP(B183,api!$A$2:$R$334,18,FALSE)</f>
        <v>37.175020366640503</v>
      </c>
    </row>
    <row r="184" spans="1:21" x14ac:dyDescent="0.3">
      <c r="A184">
        <v>8105816</v>
      </c>
      <c r="B184" t="s">
        <v>183</v>
      </c>
      <c r="C184" t="str">
        <f>VLOOKUP(A184,budget!$A$5:$I$337,3,FALSE)</f>
        <v>청초호</v>
      </c>
      <c r="D184" t="str">
        <f>VLOOKUP(B184,api!$A$2:$R$334,2,FALSE)</f>
        <v>속초시</v>
      </c>
      <c r="E184" t="str">
        <f>VLOOKUP(B184,api!$A$2:$R$334,12,FALSE)</f>
        <v>강원특별자치도 속초시 금호동 482-276</v>
      </c>
      <c r="F184" t="s">
        <v>226</v>
      </c>
      <c r="G184" t="str">
        <f>VLOOKUP(A184,budget!$A$5:$I$337,4,FALSE)</f>
        <v>자연경관/자유관광지</v>
      </c>
      <c r="H184" t="s">
        <v>799</v>
      </c>
      <c r="I184" t="s">
        <v>800</v>
      </c>
      <c r="J184" t="str">
        <f>VLOOKUP(A184,budget!$A$5:$I$337,5,FALSE)</f>
        <v>상시 개방</v>
      </c>
      <c r="K184">
        <f>VLOOKUP(B184,api!$A$2:$R$334,14,FALSE)</f>
        <v>0</v>
      </c>
      <c r="L184" t="str">
        <f>VLOOKUP(B184,api!$A$2:$R$334,4,FALSE)</f>
        <v>http://chungchoho.co.kr/</v>
      </c>
      <c r="M184">
        <f>VLOOKUP(B184,api!$A$2:$R$334,5,FALSE)</f>
        <v>4.5</v>
      </c>
      <c r="N184">
        <f>VLOOKUP(B184,api!$A$2:$R$334,6,FALSE)</f>
        <v>45</v>
      </c>
      <c r="O184">
        <f>VLOOKUP(B184,api!$A$2:$R$334,7,FALSE)</f>
        <v>10</v>
      </c>
      <c r="P184">
        <f>VLOOKUP(A184,budget!$A$5:$I$337,6,FALSE)</f>
        <v>0</v>
      </c>
      <c r="Q184">
        <f>VLOOKUP(A184,budget!$A$5:$I$337,7,FALSE)</f>
        <v>0</v>
      </c>
      <c r="R184" t="str">
        <f>VLOOKUP(A184,budget!$A$5:$I$337,8,FALSE)</f>
        <v>상시 무료 관람 (식음료 및 개인소모품비 제외)</v>
      </c>
      <c r="S184" t="str">
        <f>VLOOKUP(A184,budget!$A$5:$I$337,9,FALSE)</f>
        <v>http://place.map.kakao.com/8105816</v>
      </c>
      <c r="T184">
        <f>VLOOKUP(B184,api!$A$2:$R$334,17,FALSE)</f>
        <v>128.58907723106799</v>
      </c>
      <c r="U184">
        <f>VLOOKUP(B184,api!$A$2:$R$334,18,FALSE)</f>
        <v>38.199630194556697</v>
      </c>
    </row>
    <row r="185" spans="1:21" x14ac:dyDescent="0.3">
      <c r="A185">
        <v>26139470</v>
      </c>
      <c r="B185" t="s">
        <v>184</v>
      </c>
      <c r="C185" t="str">
        <f>VLOOKUP(A185,budget!$A$5:$I$337,3,FALSE)</f>
        <v>국립청태산자연휴양림</v>
      </c>
      <c r="D185" t="str">
        <f>VLOOKUP(B185,api!$A$2:$R$334,2,FALSE)</f>
        <v>횡성군</v>
      </c>
      <c r="E185" t="str">
        <f>VLOOKUP(B185,api!$A$2:$R$334,12,FALSE)</f>
        <v>강원특별자치도 횡성군 둔내면 삽교리 산 1-4</v>
      </c>
      <c r="F185" t="s">
        <v>226</v>
      </c>
      <c r="G185" t="str">
        <f>VLOOKUP(A185,budget!$A$5:$I$337,4,FALSE)</f>
        <v>휴양림/수목원</v>
      </c>
      <c r="H185" t="s">
        <v>799</v>
      </c>
      <c r="I185" t="s">
        <v>800</v>
      </c>
      <c r="J185" t="str">
        <f>VLOOKUP(A185,budget!$A$5:$I$337,5,FALSE)</f>
        <v>09:00 - 18:00 (화요일/월요일 휴무)</v>
      </c>
      <c r="K185" t="str">
        <f>VLOOKUP(B185,api!$A$2:$R$334,14,FALSE)</f>
        <v>033-343-9707</v>
      </c>
      <c r="L185" t="str">
        <f>VLOOKUP(B185,api!$A$2:$R$334,4,FALSE)</f>
        <v>https://www.foresttrip.go.kr/indvz/main.do?hmpgId=0106</v>
      </c>
      <c r="M185">
        <f>VLOOKUP(B185,api!$A$2:$R$334,5,FALSE)</f>
        <v>4.3</v>
      </c>
      <c r="N185">
        <f>VLOOKUP(B185,api!$A$2:$R$334,6,FALSE)</f>
        <v>52</v>
      </c>
      <c r="O185">
        <f>VLOOKUP(B185,api!$A$2:$R$334,7,FALSE)</f>
        <v>138</v>
      </c>
      <c r="P185">
        <f>VLOOKUP(A185,budget!$A$5:$I$337,6,FALSE)</f>
        <v>1000</v>
      </c>
      <c r="Q185">
        <f>VLOOKUP(A185,budget!$A$5:$I$337,7,FALSE)</f>
        <v>5000</v>
      </c>
      <c r="R185" t="str">
        <f>VLOOKUP(A185,budget!$A$5:$I$337,8,FALSE)</f>
        <v>국공립/민간 휴양림 입장료 기준 (숙박/체험비 제외)</v>
      </c>
      <c r="S185" t="str">
        <f>VLOOKUP(A185,budget!$A$5:$I$337,9,FALSE)</f>
        <v>http://place.map.kakao.com/26139470</v>
      </c>
      <c r="T185">
        <f>VLOOKUP(B185,api!$A$2:$R$334,17,FALSE)</f>
        <v>128.29133100098201</v>
      </c>
      <c r="U185">
        <f>VLOOKUP(B185,api!$A$2:$R$334,18,FALSE)</f>
        <v>37.521689792087898</v>
      </c>
    </row>
    <row r="186" spans="1:21" x14ac:dyDescent="0.3">
      <c r="A186">
        <v>1778342372</v>
      </c>
      <c r="B186" t="s">
        <v>185</v>
      </c>
      <c r="C186" t="str">
        <f>VLOOKUP(A186,budget!$A$5:$I$337,3,FALSE)</f>
        <v>초곡용굴촛대바위길</v>
      </c>
      <c r="D186" t="str">
        <f>VLOOKUP(B186,api!$A$2:$R$334,2,FALSE)</f>
        <v>삼척시</v>
      </c>
      <c r="E186" t="str">
        <f>VLOOKUP(B186,api!$A$2:$R$334,12,FALSE)</f>
        <v>강원특별자치도 삼척시 근덕면 초곡리 산 1</v>
      </c>
      <c r="F186" t="s">
        <v>226</v>
      </c>
      <c r="G186" t="str">
        <f>VLOOKUP(A186,budget!$A$5:$I$337,4,FALSE)</f>
        <v>자연경관/자유관광지</v>
      </c>
      <c r="H186" t="s">
        <v>799</v>
      </c>
      <c r="I186" t="s">
        <v>800</v>
      </c>
      <c r="J186" t="str">
        <f>VLOOKUP(A186,budget!$A$5:$I$337,5,FALSE)</f>
        <v>상시 개방</v>
      </c>
      <c r="K186" t="str">
        <f>VLOOKUP(B186,api!$A$2:$R$334,14,FALSE)</f>
        <v>033-575-4605</v>
      </c>
      <c r="L186" t="str">
        <f>VLOOKUP(B186,api!$A$2:$R$334,4,FALSE)</f>
        <v>https://www.samcheok.go.kr/tour.web</v>
      </c>
      <c r="M186">
        <f>VLOOKUP(B186,api!$A$2:$R$334,5,FALSE)</f>
        <v>4.4000000000000004</v>
      </c>
      <c r="N186">
        <f>VLOOKUP(B186,api!$A$2:$R$334,6,FALSE)</f>
        <v>87</v>
      </c>
      <c r="O186">
        <f>VLOOKUP(B186,api!$A$2:$R$334,7,FALSE)</f>
        <v>300</v>
      </c>
      <c r="P186">
        <f>VLOOKUP(A186,budget!$A$5:$I$337,6,FALSE)</f>
        <v>0</v>
      </c>
      <c r="Q186">
        <f>VLOOKUP(A186,budget!$A$5:$I$337,7,FALSE)</f>
        <v>0</v>
      </c>
      <c r="R186" t="str">
        <f>VLOOKUP(A186,budget!$A$5:$I$337,8,FALSE)</f>
        <v>상시 무료 관람 (식음료 및 개인소모품비 제외)</v>
      </c>
      <c r="S186" t="str">
        <f>VLOOKUP(A186,budget!$A$5:$I$337,9,FALSE)</f>
        <v>http://place.map.kakao.com/1778342372</v>
      </c>
      <c r="T186">
        <f>VLOOKUP(B186,api!$A$2:$R$334,17,FALSE)</f>
        <v>129.295083335632</v>
      </c>
      <c r="U186">
        <f>VLOOKUP(B186,api!$A$2:$R$334,18,FALSE)</f>
        <v>37.311272235558903</v>
      </c>
    </row>
    <row r="187" spans="1:21" x14ac:dyDescent="0.3">
      <c r="A187">
        <v>2109864219</v>
      </c>
      <c r="B187" t="s">
        <v>186</v>
      </c>
      <c r="C187" t="str">
        <f>VLOOKUP(A187,budget!$A$5:$I$337,3,FALSE)</f>
        <v>추암오토캠핑장</v>
      </c>
      <c r="D187" t="str">
        <f>VLOOKUP(B187,api!$A$2:$R$334,2,FALSE)</f>
        <v>동해시</v>
      </c>
      <c r="E187" t="str">
        <f>VLOOKUP(B187,api!$A$2:$R$334,12,FALSE)</f>
        <v>강원특별자치도 동해시 추암동 1</v>
      </c>
      <c r="F187" t="s">
        <v>226</v>
      </c>
      <c r="G187" t="str">
        <f>VLOOKUP(A187,budget!$A$5:$I$337,4,FALSE)</f>
        <v>캠핑/숙박시설</v>
      </c>
      <c r="H187" t="s">
        <v>908</v>
      </c>
      <c r="I187" t="s">
        <v>909</v>
      </c>
      <c r="J187" t="str">
        <f>VLOOKUP(A187,budget!$A$5:$I$337,5,FALSE)</f>
        <v>입실 14:00 / 퇴실 11:00 (상시)</v>
      </c>
      <c r="K187" t="str">
        <f>VLOOKUP(B187,api!$A$2:$R$334,14,FALSE)</f>
        <v>033-539-3737</v>
      </c>
      <c r="L187" t="str">
        <f>VLOOKUP(B187,api!$A$2:$R$334,4,FALSE)</f>
        <v>http://www.chuamautocamping.or.kr/</v>
      </c>
      <c r="M187">
        <f>VLOOKUP(B187,api!$A$2:$R$334,5,FALSE)</f>
        <v>4.2</v>
      </c>
      <c r="N187">
        <f>VLOOKUP(B187,api!$A$2:$R$334,6,FALSE)</f>
        <v>21</v>
      </c>
      <c r="O187">
        <f>VLOOKUP(B187,api!$A$2:$R$334,7,FALSE)</f>
        <v>58</v>
      </c>
      <c r="P187">
        <f>VLOOKUP(A187,budget!$A$5:$I$337,6,FALSE)</f>
        <v>0</v>
      </c>
      <c r="Q187">
        <f>VLOOKUP(A187,budget!$A$5:$I$337,7,FALSE)</f>
        <v>0</v>
      </c>
      <c r="R187" t="str">
        <f>VLOOKUP(A187,budget!$A$5:$I$337,8,FALSE)</f>
        <v>시설 이용 고객 대상 (단순 둘러보기/입장 무료)</v>
      </c>
      <c r="S187" t="str">
        <f>VLOOKUP(A187,budget!$A$5:$I$337,9,FALSE)</f>
        <v>http://place.map.kakao.com/2109864219</v>
      </c>
      <c r="T187">
        <f>VLOOKUP(B187,api!$A$2:$R$334,17,FALSE)</f>
        <v>129.15889834812299</v>
      </c>
      <c r="U187">
        <f>VLOOKUP(B187,api!$A$2:$R$334,18,FALSE)</f>
        <v>37.476971770399203</v>
      </c>
    </row>
    <row r="188" spans="1:21" x14ac:dyDescent="0.3">
      <c r="A188">
        <v>10838734</v>
      </c>
      <c r="B188" t="s">
        <v>187</v>
      </c>
      <c r="C188" t="str">
        <f>VLOOKUP(A188,budget!$A$5:$I$337,3,FALSE)</f>
        <v>추암촛대바위</v>
      </c>
      <c r="D188" t="str">
        <f>VLOOKUP(B188,api!$A$2:$R$334,2,FALSE)</f>
        <v>동해시</v>
      </c>
      <c r="E188" t="str">
        <f>VLOOKUP(B188,api!$A$2:$R$334,12,FALSE)</f>
        <v>강원특별자치도 동해시 추암동 산 69</v>
      </c>
      <c r="F188" t="s">
        <v>226</v>
      </c>
      <c r="G188" t="str">
        <f>VLOOKUP(A188,budget!$A$5:$I$337,4,FALSE)</f>
        <v>자연경관/자유관광지</v>
      </c>
      <c r="J188" t="str">
        <f>VLOOKUP(A188,budget!$A$5:$I$337,5,FALSE)</f>
        <v>05:00 - 18:00 (일몰 시까지)</v>
      </c>
      <c r="K188" t="str">
        <f>VLOOKUP(B188,api!$A$2:$R$334,14,FALSE)</f>
        <v>033-530-2801</v>
      </c>
      <c r="L188" t="str">
        <f>VLOOKUP(B188,api!$A$2:$R$334,4,FALSE)</f>
        <v>http://www.dh.go.kr/tour/</v>
      </c>
      <c r="M188">
        <f>VLOOKUP(B188,api!$A$2:$R$334,5,FALSE)</f>
        <v>4.5</v>
      </c>
      <c r="N188">
        <f>VLOOKUP(B188,api!$A$2:$R$334,6,FALSE)</f>
        <v>210</v>
      </c>
      <c r="O188">
        <f>VLOOKUP(B188,api!$A$2:$R$334,7,FALSE)</f>
        <v>293</v>
      </c>
      <c r="P188">
        <f>VLOOKUP(A188,budget!$A$5:$I$337,6,FALSE)</f>
        <v>0</v>
      </c>
      <c r="Q188">
        <f>VLOOKUP(A188,budget!$A$5:$I$337,7,FALSE)</f>
        <v>0</v>
      </c>
      <c r="R188" t="str">
        <f>VLOOKUP(A188,budget!$A$5:$I$337,8,FALSE)</f>
        <v>상시 무료 관람 (식음료 및 개인소모품비 제외)</v>
      </c>
      <c r="S188" t="str">
        <f>VLOOKUP(A188,budget!$A$5:$I$337,9,FALSE)</f>
        <v>http://place.map.kakao.com/10838734</v>
      </c>
      <c r="T188">
        <f>VLOOKUP(B188,api!$A$2:$R$334,17,FALSE)</f>
        <v>129.15986747491201</v>
      </c>
      <c r="U188">
        <f>VLOOKUP(B188,api!$A$2:$R$334,18,FALSE)</f>
        <v>37.479224172099201</v>
      </c>
    </row>
    <row r="189" spans="1:21" x14ac:dyDescent="0.3">
      <c r="A189">
        <v>1147568611</v>
      </c>
      <c r="B189" t="s">
        <v>188</v>
      </c>
      <c r="C189" t="str">
        <f>VLOOKUP(A189,budget!$A$5:$I$337,3,FALSE)</f>
        <v>춘천삼악산호수케이블카</v>
      </c>
      <c r="D189" t="str">
        <f>VLOOKUP(B189,api!$A$2:$R$334,2,FALSE)</f>
        <v>춘천시</v>
      </c>
      <c r="E189" t="str">
        <f>VLOOKUP(B189,api!$A$2:$R$334,12,FALSE)</f>
        <v>강원특별자치도 춘천시 삼천동 801</v>
      </c>
      <c r="F189" t="s">
        <v>226</v>
      </c>
      <c r="G189" t="str">
        <f>VLOOKUP(A189,budget!$A$5:$I$337,4,FALSE)</f>
        <v>체험/액티비티</v>
      </c>
      <c r="J189" t="str">
        <f>VLOOKUP(A189,budget!$A$5:$I$337,5,FALSE)</f>
        <v>09:00 - 18:00 (매표마감 17:00)</v>
      </c>
      <c r="K189" t="str">
        <f>VLOOKUP(B189,api!$A$2:$R$334,14,FALSE)</f>
        <v>1588-4888</v>
      </c>
      <c r="L189" t="str">
        <f>VLOOKUP(B189,api!$A$2:$R$334,4,FALSE)</f>
        <v>https://samaksancablecar.com/home/index.php</v>
      </c>
      <c r="M189">
        <f>VLOOKUP(B189,api!$A$2:$R$334,5,FALSE)</f>
        <v>4.4000000000000004</v>
      </c>
      <c r="N189">
        <f>VLOOKUP(B189,api!$A$2:$R$334,6,FALSE)</f>
        <v>382</v>
      </c>
      <c r="O189">
        <f>VLOOKUP(B189,api!$A$2:$R$334,7,FALSE)</f>
        <v>38</v>
      </c>
      <c r="P189">
        <f>VLOOKUP(A189,budget!$A$5:$I$337,6,FALSE)</f>
        <v>10000</v>
      </c>
      <c r="Q189">
        <f>VLOOKUP(A189,budget!$A$5:$I$337,7,FALSE)</f>
        <v>35000</v>
      </c>
      <c r="R189" t="str">
        <f>VLOOKUP(A189,budget!$A$5:$I$337,8,FALSE)</f>
        <v>1인 승선/체험권 기준 (코스 및 이용 상품에 따라 변동)</v>
      </c>
      <c r="S189" t="str">
        <f>VLOOKUP(A189,budget!$A$5:$I$337,9,FALSE)</f>
        <v>http://place.map.kakao.com/1147568611</v>
      </c>
      <c r="T189">
        <f>VLOOKUP(B189,api!$A$2:$R$334,17,FALSE)</f>
        <v>127.691292787628</v>
      </c>
      <c r="U189">
        <f>VLOOKUP(B189,api!$A$2:$R$334,18,FALSE)</f>
        <v>37.864334230023502</v>
      </c>
    </row>
    <row r="190" spans="1:21" x14ac:dyDescent="0.3">
      <c r="A190">
        <v>8582434</v>
      </c>
      <c r="B190" t="s">
        <v>189</v>
      </c>
      <c r="C190" t="str">
        <f>VLOOKUP(A190,budget!$A$5:$I$337,3,FALSE)</f>
        <v>치악산자연휴양림</v>
      </c>
      <c r="D190" t="str">
        <f>VLOOKUP(B190,api!$A$2:$R$334,2,FALSE)</f>
        <v>원주시</v>
      </c>
      <c r="E190" t="str">
        <f>VLOOKUP(B190,api!$A$2:$R$334,12,FALSE)</f>
        <v>강원특별자치도 원주시 판부면 금대리 산 100</v>
      </c>
      <c r="F190" t="s">
        <v>226</v>
      </c>
      <c r="G190" t="str">
        <f>VLOOKUP(A190,budget!$A$5:$I$337,4,FALSE)</f>
        <v>휴양림/수목원</v>
      </c>
      <c r="H190" t="s">
        <v>799</v>
      </c>
      <c r="I190" t="s">
        <v>800</v>
      </c>
      <c r="J190" t="str">
        <f>VLOOKUP(A190,budget!$A$5:$I$337,5,FALSE)</f>
        <v>09:00 - 18:00 (화요일/월요일 휴무)</v>
      </c>
      <c r="K190" t="str">
        <f>VLOOKUP(B190,api!$A$2:$R$334,14,FALSE)</f>
        <v>033-762-8288</v>
      </c>
      <c r="L190" t="str">
        <f>VLOOKUP(B190,api!$A$2:$R$334,4,FALSE)</f>
        <v>https://foresttrip.go.kr/indvz/main.do?hmpgId=ID02030024</v>
      </c>
      <c r="M190">
        <f>VLOOKUP(B190,api!$A$2:$R$334,5,FALSE)</f>
        <v>3.7</v>
      </c>
      <c r="N190">
        <f>VLOOKUP(B190,api!$A$2:$R$334,6,FALSE)</f>
        <v>21</v>
      </c>
      <c r="O190">
        <f>VLOOKUP(B190,api!$A$2:$R$334,7,FALSE)</f>
        <v>74</v>
      </c>
      <c r="P190">
        <f>VLOOKUP(A190,budget!$A$5:$I$337,6,FALSE)</f>
        <v>1000</v>
      </c>
      <c r="Q190">
        <f>VLOOKUP(A190,budget!$A$5:$I$337,7,FALSE)</f>
        <v>5000</v>
      </c>
      <c r="R190" t="str">
        <f>VLOOKUP(A190,budget!$A$5:$I$337,8,FALSE)</f>
        <v>국공립/민간 휴양림 입장료 기준 (숙박/체험비 제외)</v>
      </c>
      <c r="S190" t="str">
        <f>VLOOKUP(A190,budget!$A$5:$I$337,9,FALSE)</f>
        <v>http://place.map.kakao.com/8582434</v>
      </c>
      <c r="T190">
        <f>VLOOKUP(B190,api!$A$2:$R$334,17,FALSE)</f>
        <v>128.031322376796</v>
      </c>
      <c r="U190">
        <f>VLOOKUP(B190,api!$A$2:$R$334,18,FALSE)</f>
        <v>37.255821930194699</v>
      </c>
    </row>
    <row r="191" spans="1:21" x14ac:dyDescent="0.3">
      <c r="A191">
        <v>14752201</v>
      </c>
      <c r="B191" t="s">
        <v>190</v>
      </c>
      <c r="C191" t="str">
        <f>VLOOKUP(A191,budget!$A$5:$I$337,3,FALSE)</f>
        <v>타임캡슐공원</v>
      </c>
      <c r="D191" t="str">
        <f>VLOOKUP(B191,api!$A$2:$R$334,2,FALSE)</f>
        <v>정선군</v>
      </c>
      <c r="E191" t="str">
        <f>VLOOKUP(B191,api!$A$2:$R$334,12,FALSE)</f>
        <v>강원특별자치도 정선군 신동읍 조동리 499-11</v>
      </c>
      <c r="F191" t="s">
        <v>226</v>
      </c>
      <c r="G191" t="str">
        <f>VLOOKUP(A191,budget!$A$5:$I$337,4,FALSE)</f>
        <v>자연경관/자유관광지</v>
      </c>
      <c r="J191" t="str">
        <f>VLOOKUP(A191,budget!$A$5:$I$337,5,FALSE)</f>
        <v>24시간 연중무휴 (자유 방문)</v>
      </c>
      <c r="K191" t="str">
        <f>VLOOKUP(B191,api!$A$2:$R$334,14,FALSE)</f>
        <v>033-560-3462</v>
      </c>
      <c r="L191" t="str">
        <f>VLOOKUP(B191,api!$A$2:$R$334,4,FALSE)</f>
        <v>http://time.jsimc.or.kr/</v>
      </c>
      <c r="M191">
        <f>VLOOKUP(B191,api!$A$2:$R$334,5,FALSE)</f>
        <v>3.8</v>
      </c>
      <c r="N191">
        <f>VLOOKUP(B191,api!$A$2:$R$334,6,FALSE)</f>
        <v>29</v>
      </c>
      <c r="O191">
        <f>VLOOKUP(B191,api!$A$2:$R$334,7,FALSE)</f>
        <v>83</v>
      </c>
      <c r="P191">
        <f>VLOOKUP(A191,budget!$A$5:$I$337,6,FALSE)</f>
        <v>0</v>
      </c>
      <c r="Q191">
        <f>VLOOKUP(A191,budget!$A$5:$I$337,7,FALSE)</f>
        <v>0</v>
      </c>
      <c r="R191" t="str">
        <f>VLOOKUP(A191,budget!$A$5:$I$337,8,FALSE)</f>
        <v>상시 무료 관람 (식음료 및 개인소모품비 제외)</v>
      </c>
      <c r="S191" t="str">
        <f>VLOOKUP(A191,budget!$A$5:$I$337,9,FALSE)</f>
        <v>http://place.map.kakao.com/14752201</v>
      </c>
      <c r="T191">
        <f>VLOOKUP(B191,api!$A$2:$R$334,17,FALSE)</f>
        <v>128.688400267704</v>
      </c>
      <c r="U191">
        <f>VLOOKUP(B191,api!$A$2:$R$334,18,FALSE)</f>
        <v>37.201455848896302</v>
      </c>
    </row>
    <row r="192" spans="1:21" x14ac:dyDescent="0.3">
      <c r="A192">
        <v>8112646</v>
      </c>
      <c r="B192" t="s">
        <v>191</v>
      </c>
      <c r="C192" t="str">
        <f>VLOOKUP(A192,budget!$A$5:$I$337,3,FALSE)</f>
        <v>태기산 전망대</v>
      </c>
      <c r="D192" t="str">
        <f>VLOOKUP(B192,api!$A$2:$R$334,2,FALSE)</f>
        <v>횡성군</v>
      </c>
      <c r="E192" t="str">
        <f>VLOOKUP(B192,api!$A$2:$R$334,12,FALSE)</f>
        <v>강원특별자치도 횡성군 둔내면 태기리 산 1-1</v>
      </c>
      <c r="F192" t="s">
        <v>226</v>
      </c>
      <c r="G192" t="str">
        <f>VLOOKUP(A192,budget!$A$5:$I$337,4,FALSE)</f>
        <v>자연경관/자유관광지</v>
      </c>
      <c r="H192" t="s">
        <v>799</v>
      </c>
      <c r="I192" t="s">
        <v>800</v>
      </c>
      <c r="J192" t="str">
        <f>VLOOKUP(A192,budget!$A$5:$I$337,5,FALSE)</f>
        <v>24시간 연중무휴 (자유 방문)</v>
      </c>
      <c r="K192">
        <f>VLOOKUP(B192,api!$A$2:$R$334,14,FALSE)</f>
        <v>0</v>
      </c>
      <c r="L192" t="str">
        <f>VLOOKUP(B192,api!$A$2:$R$334,4,FALSE)</f>
        <v>https://www.hsg.go.kr/tour.web</v>
      </c>
      <c r="M192">
        <f>VLOOKUP(B192,api!$A$2:$R$334,5,FALSE)</f>
        <v>3.6</v>
      </c>
      <c r="N192">
        <f>VLOOKUP(B192,api!$A$2:$R$334,6,FALSE)</f>
        <v>21</v>
      </c>
      <c r="O192">
        <f>VLOOKUP(B192,api!$A$2:$R$334,7,FALSE)</f>
        <v>0</v>
      </c>
      <c r="P192">
        <f>VLOOKUP(A192,budget!$A$5:$I$337,6,FALSE)</f>
        <v>0</v>
      </c>
      <c r="Q192">
        <f>VLOOKUP(A192,budget!$A$5:$I$337,7,FALSE)</f>
        <v>0</v>
      </c>
      <c r="R192" t="str">
        <f>VLOOKUP(A192,budget!$A$5:$I$337,8,FALSE)</f>
        <v>상시 무료 관람 (식음료 및 개인소모품비 제외)</v>
      </c>
      <c r="S192" t="str">
        <f>VLOOKUP(A192,budget!$A$5:$I$337,9,FALSE)</f>
        <v>http://place.map.kakao.com/8112646</v>
      </c>
      <c r="T192">
        <f>VLOOKUP(B192,api!$A$2:$R$334,17,FALSE)</f>
        <v>128.28135538216401</v>
      </c>
      <c r="U192">
        <f>VLOOKUP(B192,api!$A$2:$R$334,18,FALSE)</f>
        <v>37.604210865987298</v>
      </c>
    </row>
    <row r="193" spans="1:21" x14ac:dyDescent="0.3">
      <c r="A193">
        <v>1654875200</v>
      </c>
      <c r="B193" t="s">
        <v>192</v>
      </c>
      <c r="C193" t="str">
        <f>VLOOKUP(A193,budget!$A$5:$I$337,3,FALSE)</f>
        <v>태백산국립공원</v>
      </c>
      <c r="D193" t="str">
        <f>VLOOKUP(B193,api!$A$2:$R$334,2,FALSE)</f>
        <v>태백시</v>
      </c>
      <c r="E193" t="str">
        <f>VLOOKUP(B193,api!$A$2:$R$334,12,FALSE)</f>
        <v>강원특별자치도 태백시 혈동 산 36-3</v>
      </c>
      <c r="F193" t="s">
        <v>226</v>
      </c>
      <c r="G193" t="str">
        <f>VLOOKUP(A193,budget!$A$5:$I$337,4,FALSE)</f>
        <v>자연경관/자유관광지</v>
      </c>
      <c r="H193" t="s">
        <v>799</v>
      </c>
      <c r="I193" t="s">
        <v>800</v>
      </c>
      <c r="J193" t="str">
        <f>VLOOKUP(A193,budget!$A$5:$I$337,5,FALSE)</f>
        <v>24시간 연중무휴 (자유 방문)</v>
      </c>
      <c r="K193">
        <f>VLOOKUP(B193,api!$A$2:$R$334,14,FALSE)</f>
        <v>0</v>
      </c>
      <c r="L193" t="str">
        <f>VLOOKUP(B193,api!$A$2:$R$334,4,FALSE)</f>
        <v>https://www.knps.or.kr/front/portal/visit/visitCourseMain.do?parkId=122200&amp;menuNo=8000275</v>
      </c>
      <c r="M193">
        <f>VLOOKUP(B193,api!$A$2:$R$334,5,FALSE)</f>
        <v>5</v>
      </c>
      <c r="N193">
        <f>VLOOKUP(B193,api!$A$2:$R$334,6,FALSE)</f>
        <v>8</v>
      </c>
      <c r="O193">
        <f>VLOOKUP(B193,api!$A$2:$R$334,7,FALSE)</f>
        <v>6</v>
      </c>
      <c r="P193">
        <f>VLOOKUP(A193,budget!$A$5:$I$337,6,FALSE)</f>
        <v>0</v>
      </c>
      <c r="Q193">
        <f>VLOOKUP(A193,budget!$A$5:$I$337,7,FALSE)</f>
        <v>0</v>
      </c>
      <c r="R193" t="str">
        <f>VLOOKUP(A193,budget!$A$5:$I$337,8,FALSE)</f>
        <v>상시 무료 관람 (식음료 및 개인소모품비 제외)</v>
      </c>
      <c r="S193" t="str">
        <f>VLOOKUP(A193,budget!$A$5:$I$337,9,FALSE)</f>
        <v>http://place.map.kakao.com/1654875200</v>
      </c>
      <c r="T193">
        <f>VLOOKUP(B193,api!$A$2:$R$334,17,FALSE)</f>
        <v>128.93020313318999</v>
      </c>
      <c r="U193">
        <f>VLOOKUP(B193,api!$A$2:$R$334,18,FALSE)</f>
        <v>37.123246707936403</v>
      </c>
    </row>
    <row r="194" spans="1:21" x14ac:dyDescent="0.3">
      <c r="A194">
        <v>8108945</v>
      </c>
      <c r="B194" t="s">
        <v>193</v>
      </c>
      <c r="C194" t="str">
        <f>VLOOKUP(A194,budget!$A$5:$I$337,3,FALSE)</f>
        <v>태백석탄박물관</v>
      </c>
      <c r="D194" t="str">
        <f>VLOOKUP(B194,api!$A$2:$R$334,2,FALSE)</f>
        <v>태백시</v>
      </c>
      <c r="E194" t="str">
        <f>VLOOKUP(B194,api!$A$2:$R$334,12,FALSE)</f>
        <v>강원특별자치도 태백시 소도동 166-2</v>
      </c>
      <c r="F194" t="s">
        <v>225</v>
      </c>
      <c r="G194" t="str">
        <f>VLOOKUP(A194,budget!$A$5:$I$337,4,FALSE)</f>
        <v>문화/전람/동굴/전망시설</v>
      </c>
      <c r="H194" t="s">
        <v>792</v>
      </c>
      <c r="I194" t="s">
        <v>793</v>
      </c>
      <c r="J194" t="str">
        <f>VLOOKUP(A194,budget!$A$5:$I$337,5,FALSE)</f>
        <v>09:00 - 18:00 (입장마감 17:00, 월요일 휴무)</v>
      </c>
      <c r="K194" t="str">
        <f>VLOOKUP(B194,api!$A$2:$R$334,14,FALSE)</f>
        <v>033-552-7720</v>
      </c>
      <c r="L194" t="str">
        <f>VLOOKUP(B194,api!$A$2:$R$334,4,FALSE)</f>
        <v>https://www.taebaek.go.kr/coalmuseum/index.do</v>
      </c>
      <c r="M194">
        <f>VLOOKUP(B194,api!$A$2:$R$334,5,FALSE)</f>
        <v>4.7</v>
      </c>
      <c r="N194">
        <f>VLOOKUP(B194,api!$A$2:$R$334,6,FALSE)</f>
        <v>52</v>
      </c>
      <c r="O194">
        <f>VLOOKUP(B194,api!$A$2:$R$334,7,FALSE)</f>
        <v>175</v>
      </c>
      <c r="P194">
        <f>VLOOKUP(A194,budget!$A$5:$I$337,6,FALSE)</f>
        <v>2000</v>
      </c>
      <c r="Q194">
        <f>VLOOKUP(A194,budget!$A$5:$I$337,7,FALSE)</f>
        <v>10000</v>
      </c>
      <c r="R194" t="str">
        <f>VLOOKUP(A194,budget!$A$5:$I$337,8,FALSE)</f>
        <v>대인 관람료 및 전망대/스카이워크 이용료 기준</v>
      </c>
      <c r="S194" t="str">
        <f>VLOOKUP(A194,budget!$A$5:$I$337,9,FALSE)</f>
        <v>http://place.map.kakao.com/8108945</v>
      </c>
      <c r="T194">
        <f>VLOOKUP(B194,api!$A$2:$R$334,17,FALSE)</f>
        <v>128.950472148975</v>
      </c>
      <c r="U194">
        <f>VLOOKUP(B194,api!$A$2:$R$334,18,FALSE)</f>
        <v>37.1174804932567</v>
      </c>
    </row>
    <row r="195" spans="1:21" x14ac:dyDescent="0.3">
      <c r="A195">
        <v>1232921652</v>
      </c>
      <c r="B195" t="s">
        <v>194</v>
      </c>
      <c r="C195" t="str">
        <f>VLOOKUP(A195,budget!$A$5:$I$337,3,FALSE)</f>
        <v>파로호 꽃섬</v>
      </c>
      <c r="D195" t="str">
        <f>VLOOKUP(B195,api!$A$2:$R$334,2,FALSE)</f>
        <v>양구군</v>
      </c>
      <c r="E195" t="str">
        <f>VLOOKUP(B195,api!$A$2:$R$334,12,FALSE)</f>
        <v>강원특별자치도 양구군 양구읍 하리 570-1</v>
      </c>
      <c r="F195" t="s">
        <v>226</v>
      </c>
      <c r="G195" t="str">
        <f>VLOOKUP(A195,budget!$A$5:$I$337,4,FALSE)</f>
        <v>자연경관/자유관광지</v>
      </c>
      <c r="J195" t="str">
        <f>VLOOKUP(A195,budget!$A$5:$I$337,5,FALSE)</f>
        <v>상시 개방</v>
      </c>
      <c r="K195">
        <f>VLOOKUP(B195,api!$A$2:$R$334,14,FALSE)</f>
        <v>0</v>
      </c>
      <c r="L195" t="str">
        <f>VLOOKUP(B195,api!$A$2:$R$334,4,FALSE)</f>
        <v>https://www.ygtour.kr/Home/index</v>
      </c>
      <c r="M195">
        <f>VLOOKUP(B195,api!$A$2:$R$334,5,FALSE)</f>
        <v>4.3</v>
      </c>
      <c r="N195">
        <f>VLOOKUP(B195,api!$A$2:$R$334,6,FALSE)</f>
        <v>10</v>
      </c>
      <c r="O195">
        <f>VLOOKUP(B195,api!$A$2:$R$334,7,FALSE)</f>
        <v>60</v>
      </c>
      <c r="P195">
        <f>VLOOKUP(A195,budget!$A$5:$I$337,6,FALSE)</f>
        <v>0</v>
      </c>
      <c r="Q195">
        <f>VLOOKUP(A195,budget!$A$5:$I$337,7,FALSE)</f>
        <v>0</v>
      </c>
      <c r="R195" t="str">
        <f>VLOOKUP(A195,budget!$A$5:$I$337,8,FALSE)</f>
        <v>상시 무료 관람 (식음료 및 개인소모품비 제외)</v>
      </c>
      <c r="S195" t="str">
        <f>VLOOKUP(A195,budget!$A$5:$I$337,9,FALSE)</f>
        <v>http://place.map.kakao.com/1232921652</v>
      </c>
      <c r="T195">
        <f>VLOOKUP(B195,api!$A$2:$R$334,17,FALSE)</f>
        <v>127.98688620936301</v>
      </c>
      <c r="U195">
        <f>VLOOKUP(B195,api!$A$2:$R$334,18,FALSE)</f>
        <v>38.119183603774403</v>
      </c>
    </row>
    <row r="196" spans="1:21" x14ac:dyDescent="0.3">
      <c r="A196">
        <v>17384874</v>
      </c>
      <c r="B196" t="s">
        <v>195</v>
      </c>
      <c r="C196" t="str">
        <f>VLOOKUP(A196,budget!$A$5:$I$337,3,FALSE)</f>
        <v>팔봉산관광지</v>
      </c>
      <c r="D196" t="str">
        <f>VLOOKUP(B196,api!$A$2:$R$334,2,FALSE)</f>
        <v>홍천군</v>
      </c>
      <c r="E196" t="str">
        <f>VLOOKUP(B196,api!$A$2:$R$334,12,FALSE)</f>
        <v>강원특별자치도 홍천군 서면 어유포리 272-14</v>
      </c>
      <c r="F196" t="s">
        <v>226</v>
      </c>
      <c r="G196" t="str">
        <f>VLOOKUP(A196,budget!$A$5:$I$337,4,FALSE)</f>
        <v>자연경관/자유관광지</v>
      </c>
      <c r="J196" t="str">
        <f>VLOOKUP(A196,budget!$A$5:$I$337,5,FALSE)</f>
        <v>24시간 연중무휴 (자유 방문)</v>
      </c>
      <c r="K196" t="str">
        <f>VLOOKUP(B196,api!$A$2:$R$334,14,FALSE)</f>
        <v>033-434-0813</v>
      </c>
      <c r="L196" t="str">
        <f>VLOOKUP(B196,api!$A$2:$R$334,4,FALSE)</f>
        <v>https://www.hongcheon.go.kr/</v>
      </c>
      <c r="M196">
        <f>VLOOKUP(B196,api!$A$2:$R$334,5,FALSE)</f>
        <v>4.2</v>
      </c>
      <c r="N196">
        <f>VLOOKUP(B196,api!$A$2:$R$334,6,FALSE)</f>
        <v>15</v>
      </c>
      <c r="O196">
        <f>VLOOKUP(B196,api!$A$2:$R$334,7,FALSE)</f>
        <v>61</v>
      </c>
      <c r="P196">
        <f>VLOOKUP(A196,budget!$A$5:$I$337,6,FALSE)</f>
        <v>0</v>
      </c>
      <c r="Q196">
        <f>VLOOKUP(A196,budget!$A$5:$I$337,7,FALSE)</f>
        <v>0</v>
      </c>
      <c r="R196" t="str">
        <f>VLOOKUP(A196,budget!$A$5:$I$337,8,FALSE)</f>
        <v>상시 무료 관람 (식음료 및 개인소모품비 제외)</v>
      </c>
      <c r="S196" t="str">
        <f>VLOOKUP(A196,budget!$A$5:$I$337,9,FALSE)</f>
        <v>http://place.map.kakao.com/17384874</v>
      </c>
      <c r="T196">
        <f>VLOOKUP(B196,api!$A$2:$R$334,17,FALSE)</f>
        <v>127.695496091056</v>
      </c>
      <c r="U196">
        <f>VLOOKUP(B196,api!$A$2:$R$334,18,FALSE)</f>
        <v>37.701856287263901</v>
      </c>
    </row>
    <row r="197" spans="1:21" x14ac:dyDescent="0.3">
      <c r="A197">
        <v>12611296</v>
      </c>
      <c r="B197" t="s">
        <v>196</v>
      </c>
      <c r="C197" t="str">
        <f>VLOOKUP(A197,budget!$A$5:$I$337,3,FALSE)</f>
        <v>평화의댐 오토캠핑장</v>
      </c>
      <c r="D197" t="str">
        <f>VLOOKUP(B197,api!$A$2:$R$334,2,FALSE)</f>
        <v>화천군</v>
      </c>
      <c r="E197" t="str">
        <f>VLOOKUP(B197,api!$A$2:$R$334,12,FALSE)</f>
        <v>강원특별자치도 화천군 화천읍 동촌리 2905-2</v>
      </c>
      <c r="F197" t="s">
        <v>226</v>
      </c>
      <c r="G197" t="str">
        <f>VLOOKUP(A197,budget!$A$5:$I$337,4,FALSE)</f>
        <v>자연경관/자유관광지</v>
      </c>
      <c r="H197" t="s">
        <v>908</v>
      </c>
      <c r="I197" t="s">
        <v>909</v>
      </c>
      <c r="J197" t="str">
        <f>VLOOKUP(A197,budget!$A$5:$I$337,5,FALSE)</f>
        <v>상시 개방</v>
      </c>
      <c r="K197" t="str">
        <f>VLOOKUP(B197,api!$A$2:$R$334,14,FALSE)</f>
        <v>033-440-4533</v>
      </c>
      <c r="L197">
        <f>VLOOKUP(B197,api!$A$2:$R$334,4,FALSE)</f>
        <v>0</v>
      </c>
      <c r="M197">
        <f>VLOOKUP(B197,api!$A$2:$R$334,5,FALSE)</f>
        <v>3.9</v>
      </c>
      <c r="N197">
        <f>VLOOKUP(B197,api!$A$2:$R$334,6,FALSE)</f>
        <v>18</v>
      </c>
      <c r="O197">
        <f>VLOOKUP(B197,api!$A$2:$R$334,7,FALSE)</f>
        <v>25</v>
      </c>
      <c r="P197">
        <f>VLOOKUP(A197,budget!$A$5:$I$337,6,FALSE)</f>
        <v>0</v>
      </c>
      <c r="Q197">
        <f>VLOOKUP(A197,budget!$A$5:$I$337,7,FALSE)</f>
        <v>0</v>
      </c>
      <c r="R197" t="str">
        <f>VLOOKUP(A197,budget!$A$5:$I$337,8,FALSE)</f>
        <v>상시 무료 관람 (식음료 및 개인소모품비 제외)</v>
      </c>
      <c r="S197" t="str">
        <f>VLOOKUP(A197,budget!$A$5:$I$337,9,FALSE)</f>
        <v>http://place.map.kakao.com/12611296</v>
      </c>
      <c r="T197">
        <f>VLOOKUP(B197,api!$A$2:$R$334,17,FALSE)</f>
        <v>127.850113219573</v>
      </c>
      <c r="U197">
        <f>VLOOKUP(B197,api!$A$2:$R$334,18,FALSE)</f>
        <v>38.206523102919299</v>
      </c>
    </row>
    <row r="198" spans="1:21" x14ac:dyDescent="0.3">
      <c r="A198">
        <v>8119283</v>
      </c>
      <c r="B198" t="s">
        <v>197</v>
      </c>
      <c r="C198" t="str">
        <f>VLOOKUP(A198,budget!$A$5:$I$337,3,FALSE)</f>
        <v>천주교 풍수원성당</v>
      </c>
      <c r="D198" t="str">
        <f>VLOOKUP(B198,api!$A$2:$R$334,2,FALSE)</f>
        <v>횡성군</v>
      </c>
      <c r="E198" t="str">
        <f>VLOOKUP(B198,api!$A$2:$R$334,12,FALSE)</f>
        <v>강원특별자치도 횡성군 서원면 유현리 1097</v>
      </c>
      <c r="F198" t="s">
        <v>226</v>
      </c>
      <c r="G198" t="str">
        <f>VLOOKUP(A198,budget!$A$5:$I$337,4,FALSE)</f>
        <v>자연경관/자유관광지</v>
      </c>
      <c r="J198" t="str">
        <f>VLOOKUP(A198,budget!$A$5:$I$337,5,FALSE)</f>
        <v>05:00 - 18:00 (일몰 시까지)</v>
      </c>
      <c r="K198" t="str">
        <f>VLOOKUP(B198,api!$A$2:$R$334,14,FALSE)</f>
        <v>033-342-0035</v>
      </c>
      <c r="L198" t="str">
        <f>VLOOKUP(B198,api!$A$2:$R$334,4,FALSE)</f>
        <v>https://www.hsg.go.kr/tour/contents.do?key=1363</v>
      </c>
      <c r="M198">
        <f>VLOOKUP(B198,api!$A$2:$R$334,5,FALSE)</f>
        <v>4.5999999999999996</v>
      </c>
      <c r="N198">
        <f>VLOOKUP(B198,api!$A$2:$R$334,6,FALSE)</f>
        <v>37</v>
      </c>
      <c r="O198">
        <f>VLOOKUP(B198,api!$A$2:$R$334,7,FALSE)</f>
        <v>140</v>
      </c>
      <c r="P198">
        <f>VLOOKUP(A198,budget!$A$5:$I$337,6,FALSE)</f>
        <v>0</v>
      </c>
      <c r="Q198">
        <f>VLOOKUP(A198,budget!$A$5:$I$337,7,FALSE)</f>
        <v>0</v>
      </c>
      <c r="R198" t="str">
        <f>VLOOKUP(A198,budget!$A$5:$I$337,8,FALSE)</f>
        <v>상시 무료 관람 (식음료 및 개인소모품비 제외)</v>
      </c>
      <c r="S198" t="str">
        <f>VLOOKUP(A198,budget!$A$5:$I$337,9,FALSE)</f>
        <v>http://place.map.kakao.com/8119283</v>
      </c>
      <c r="T198">
        <f>VLOOKUP(B198,api!$A$2:$R$334,17,FALSE)</f>
        <v>127.81867772381599</v>
      </c>
      <c r="U198">
        <f>VLOOKUP(B198,api!$A$2:$R$334,18,FALSE)</f>
        <v>37.529182881665598</v>
      </c>
    </row>
    <row r="199" spans="1:21" x14ac:dyDescent="0.3">
      <c r="A199">
        <v>1219250209</v>
      </c>
      <c r="B199" t="s">
        <v>198</v>
      </c>
      <c r="C199" t="str">
        <f>VLOOKUP(A199,budget!$A$5:$I$337,3,FALSE)</f>
        <v>피노디아 다빈치뮤지엄</v>
      </c>
      <c r="D199" t="str">
        <f>VLOOKUP(B199,api!$A$2:$R$334,2,FALSE)</f>
        <v>속초시</v>
      </c>
      <c r="E199" t="str">
        <f>VLOOKUP(B199,api!$A$2:$R$334,12,FALSE)</f>
        <v>강원특별자치도 속초시 조양동 1545-1</v>
      </c>
      <c r="F199" t="s">
        <v>225</v>
      </c>
      <c r="G199" t="str">
        <f>VLOOKUP(A199,budget!$A$5:$I$337,4,FALSE)</f>
        <v>테마파크/민간관광지</v>
      </c>
      <c r="H199" t="s">
        <v>792</v>
      </c>
      <c r="I199" t="s">
        <v>793</v>
      </c>
      <c r="J199" t="str">
        <f>VLOOKUP(A199,budget!$A$5:$I$337,5,FALSE)</f>
        <v>10:00 - 18:00 (연중무휴/입장마감 17:00)</v>
      </c>
      <c r="K199" t="str">
        <f>VLOOKUP(B199,api!$A$2:$R$334,14,FALSE)</f>
        <v>033-637-5082</v>
      </c>
      <c r="L199">
        <f>VLOOKUP(B199,api!$A$2:$R$334,4,FALSE)</f>
        <v>0</v>
      </c>
      <c r="M199">
        <f>VLOOKUP(B199,api!$A$2:$R$334,5,FALSE)</f>
        <v>4.2</v>
      </c>
      <c r="N199">
        <f>VLOOKUP(B199,api!$A$2:$R$334,6,FALSE)</f>
        <v>10</v>
      </c>
      <c r="O199">
        <f>VLOOKUP(B199,api!$A$2:$R$334,7,FALSE)</f>
        <v>32</v>
      </c>
      <c r="P199">
        <f>VLOOKUP(A199,budget!$A$5:$I$337,6,FALSE)</f>
        <v>8000</v>
      </c>
      <c r="Q199">
        <f>VLOOKUP(A199,budget!$A$5:$I$337,7,FALSE)</f>
        <v>20000</v>
      </c>
      <c r="R199" t="str">
        <f>VLOOKUP(A199,budget!$A$5:$I$337,8,FALSE)</f>
        <v>대인 정상 입장료 기준 (할인혜택/통합권 따라 변동)</v>
      </c>
      <c r="S199" t="str">
        <f>VLOOKUP(A199,budget!$A$5:$I$337,9,FALSE)</f>
        <v>http://place.map.kakao.com/1219250209</v>
      </c>
      <c r="T199">
        <f>VLOOKUP(B199,api!$A$2:$R$334,17,FALSE)</f>
        <v>128.582035529444</v>
      </c>
      <c r="U199">
        <f>VLOOKUP(B199,api!$A$2:$R$334,18,FALSE)</f>
        <v>38.191050438454603</v>
      </c>
    </row>
    <row r="200" spans="1:21" x14ac:dyDescent="0.3">
      <c r="A200">
        <v>12697671</v>
      </c>
      <c r="B200" t="s">
        <v>199</v>
      </c>
      <c r="C200" t="str">
        <f>VLOOKUP(A200,budget!$A$5:$I$337,3,FALSE)</f>
        <v>피노디아 엑스포타워</v>
      </c>
      <c r="D200" t="str">
        <f>VLOOKUP(B200,api!$A$2:$R$334,2,FALSE)</f>
        <v>속초시</v>
      </c>
      <c r="E200" t="str">
        <f>VLOOKUP(B200,api!$A$2:$R$334,12,FALSE)</f>
        <v>강원특별자치도 속초시 조양동 1544-1</v>
      </c>
      <c r="F200" t="s">
        <v>225</v>
      </c>
      <c r="G200" t="str">
        <f>VLOOKUP(A200,budget!$A$5:$I$337,4,FALSE)</f>
        <v>테마파크/민간관광지</v>
      </c>
      <c r="H200" t="s">
        <v>799</v>
      </c>
      <c r="I200" t="s">
        <v>800</v>
      </c>
      <c r="J200" t="str">
        <f>VLOOKUP(A200,budget!$A$5:$I$337,5,FALSE)</f>
        <v>10:00 - 18:00 (연중무휴/입장마감 17:00)</v>
      </c>
      <c r="K200" t="str">
        <f>VLOOKUP(B200,api!$A$2:$R$334,14,FALSE)</f>
        <v>033-633-5083</v>
      </c>
      <c r="L200" t="str">
        <f>VLOOKUP(B200,api!$A$2:$R$334,4,FALSE)</f>
        <v>https://www.pinodia.com</v>
      </c>
      <c r="M200">
        <f>VLOOKUP(B200,api!$A$2:$R$334,5,FALSE)</f>
        <v>3.5</v>
      </c>
      <c r="N200">
        <f>VLOOKUP(B200,api!$A$2:$R$334,6,FALSE)</f>
        <v>58</v>
      </c>
      <c r="O200">
        <f>VLOOKUP(B200,api!$A$2:$R$334,7,FALSE)</f>
        <v>176</v>
      </c>
      <c r="P200">
        <f>VLOOKUP(A200,budget!$A$5:$I$337,6,FALSE)</f>
        <v>8000</v>
      </c>
      <c r="Q200">
        <f>VLOOKUP(A200,budget!$A$5:$I$337,7,FALSE)</f>
        <v>20000</v>
      </c>
      <c r="R200" t="str">
        <f>VLOOKUP(A200,budget!$A$5:$I$337,8,FALSE)</f>
        <v>대인 정상 입장료 기준 (할인혜택/통합권 따라 변동)</v>
      </c>
      <c r="S200" t="str">
        <f>VLOOKUP(A200,budget!$A$5:$I$337,9,FALSE)</f>
        <v>http://place.map.kakao.com/12697671</v>
      </c>
      <c r="T200">
        <f>VLOOKUP(B200,api!$A$2:$R$334,17,FALSE)</f>
        <v>128.58344153100899</v>
      </c>
      <c r="U200">
        <f>VLOOKUP(B200,api!$A$2:$R$334,18,FALSE)</f>
        <v>38.191568368951202</v>
      </c>
    </row>
    <row r="201" spans="1:21" x14ac:dyDescent="0.3">
      <c r="A201">
        <v>10866772</v>
      </c>
      <c r="B201" t="s">
        <v>200</v>
      </c>
      <c r="C201" t="str">
        <f>VLOOKUP(A201,budget!$A$5:$I$337,3,FALSE)</f>
        <v>하조대</v>
      </c>
      <c r="D201" t="str">
        <f>VLOOKUP(B201,api!$A$2:$R$334,2,FALSE)</f>
        <v>양양군</v>
      </c>
      <c r="E201" t="str">
        <f>VLOOKUP(B201,api!$A$2:$R$334,12,FALSE)</f>
        <v>강원특별자치도 양양군 현북면 하광정리 5-1</v>
      </c>
      <c r="F201" t="s">
        <v>226</v>
      </c>
      <c r="G201" t="str">
        <f>VLOOKUP(A201,budget!$A$5:$I$337,4,FALSE)</f>
        <v>자연경관/자유관광지</v>
      </c>
      <c r="J201" t="str">
        <f>VLOOKUP(A201,budget!$A$5:$I$337,5,FALSE)</f>
        <v>상시 개방</v>
      </c>
      <c r="K201">
        <f>VLOOKUP(B201,api!$A$2:$R$334,14,FALSE)</f>
        <v>0</v>
      </c>
      <c r="L201" t="str">
        <f>VLOOKUP(B201,api!$A$2:$R$334,4,FALSE)</f>
        <v>https://tour.yangyang.go.kr/</v>
      </c>
      <c r="M201">
        <f>VLOOKUP(B201,api!$A$2:$R$334,5,FALSE)</f>
        <v>4.4000000000000004</v>
      </c>
      <c r="N201">
        <f>VLOOKUP(B201,api!$A$2:$R$334,6,FALSE)</f>
        <v>92</v>
      </c>
      <c r="O201">
        <f>VLOOKUP(B201,api!$A$2:$R$334,7,FALSE)</f>
        <v>91</v>
      </c>
      <c r="P201">
        <f>VLOOKUP(A201,budget!$A$5:$I$337,6,FALSE)</f>
        <v>0</v>
      </c>
      <c r="Q201">
        <f>VLOOKUP(A201,budget!$A$5:$I$337,7,FALSE)</f>
        <v>0</v>
      </c>
      <c r="R201" t="str">
        <f>VLOOKUP(A201,budget!$A$5:$I$337,8,FALSE)</f>
        <v>상시 무료 관람 (식음료 및 개인소모품비 제외)</v>
      </c>
      <c r="S201" t="str">
        <f>VLOOKUP(A201,budget!$A$5:$I$337,9,FALSE)</f>
        <v>http://place.map.kakao.com/10866772</v>
      </c>
      <c r="T201">
        <f>VLOOKUP(B201,api!$A$2:$R$334,17,FALSE)</f>
        <v>128.73489724928899</v>
      </c>
      <c r="U201">
        <f>VLOOKUP(B201,api!$A$2:$R$334,18,FALSE)</f>
        <v>38.021098838753602</v>
      </c>
    </row>
    <row r="202" spans="1:21" x14ac:dyDescent="0.3">
      <c r="A202">
        <v>24994634</v>
      </c>
      <c r="B202" t="s">
        <v>201</v>
      </c>
      <c r="C202" t="str">
        <f>VLOOKUP(A202,budget!$A$5:$I$337,3,FALSE)</f>
        <v>하조대전망대</v>
      </c>
      <c r="D202" t="str">
        <f>VLOOKUP(B202,api!$A$2:$R$334,2,FALSE)</f>
        <v>양양군</v>
      </c>
      <c r="E202" t="str">
        <f>VLOOKUP(B202,api!$A$2:$R$334,12,FALSE)</f>
        <v>강원특별자치도 양양군 현북면 하광정리 58-1</v>
      </c>
      <c r="F202" t="s">
        <v>226</v>
      </c>
      <c r="G202" t="str">
        <f>VLOOKUP(A202,budget!$A$5:$I$337,4,FALSE)</f>
        <v>자연경관/자유관광지</v>
      </c>
      <c r="H202" t="s">
        <v>799</v>
      </c>
      <c r="I202" t="s">
        <v>800</v>
      </c>
      <c r="J202" t="str">
        <f>VLOOKUP(A202,budget!$A$5:$I$337,5,FALSE)</f>
        <v>24시간 연중무휴 (자유 방문)</v>
      </c>
      <c r="K202">
        <f>VLOOKUP(B202,api!$A$2:$R$334,14,FALSE)</f>
        <v>0</v>
      </c>
      <c r="L202" t="str">
        <f>VLOOKUP(B202,api!$A$2:$R$334,4,FALSE)</f>
        <v>https://tour.yangyang.go.kr/</v>
      </c>
      <c r="M202">
        <f>VLOOKUP(B202,api!$A$2:$R$334,5,FALSE)</f>
        <v>4.5</v>
      </c>
      <c r="N202">
        <f>VLOOKUP(B202,api!$A$2:$R$334,6,FALSE)</f>
        <v>81</v>
      </c>
      <c r="O202">
        <f>VLOOKUP(B202,api!$A$2:$R$334,7,FALSE)</f>
        <v>100</v>
      </c>
      <c r="P202">
        <f>VLOOKUP(A202,budget!$A$5:$I$337,6,FALSE)</f>
        <v>0</v>
      </c>
      <c r="Q202">
        <f>VLOOKUP(A202,budget!$A$5:$I$337,7,FALSE)</f>
        <v>0</v>
      </c>
      <c r="R202" t="str">
        <f>VLOOKUP(A202,budget!$A$5:$I$337,8,FALSE)</f>
        <v>상시 무료 관람 (식음료 및 개인소모품비 제외)</v>
      </c>
      <c r="S202" t="str">
        <f>VLOOKUP(A202,budget!$A$5:$I$337,9,FALSE)</f>
        <v>http://place.map.kakao.com/24994634</v>
      </c>
      <c r="T202">
        <f>VLOOKUP(B202,api!$A$2:$R$334,17,FALSE)</f>
        <v>128.72910352909099</v>
      </c>
      <c r="U202">
        <f>VLOOKUP(B202,api!$A$2:$R$334,18,FALSE)</f>
        <v>38.022412931294298</v>
      </c>
    </row>
    <row r="203" spans="1:21" x14ac:dyDescent="0.3">
      <c r="A203">
        <v>8655510</v>
      </c>
      <c r="B203" t="s">
        <v>202</v>
      </c>
      <c r="C203" t="str">
        <f>VLOOKUP(A203,budget!$A$5:$I$337,3,FALSE)</f>
        <v>하추자연휴양림</v>
      </c>
      <c r="D203" t="str">
        <f>VLOOKUP(B203,api!$A$2:$R$334,2,FALSE)</f>
        <v>인제군</v>
      </c>
      <c r="E203" t="str">
        <f>VLOOKUP(B203,api!$A$2:$R$334,12,FALSE)</f>
        <v>강원특별자치도 인제군 인제읍 하추리 산 64</v>
      </c>
      <c r="F203" t="s">
        <v>226</v>
      </c>
      <c r="G203" t="str">
        <f>VLOOKUP(A203,budget!$A$5:$I$337,4,FALSE)</f>
        <v>휴양림/수목원</v>
      </c>
      <c r="H203" t="s">
        <v>799</v>
      </c>
      <c r="I203" t="s">
        <v>800</v>
      </c>
      <c r="J203" t="str">
        <f>VLOOKUP(A203,budget!$A$5:$I$337,5,FALSE)</f>
        <v>09:00 - 18:00 (화요일/월요일 휴무)</v>
      </c>
      <c r="K203" t="str">
        <f>VLOOKUP(B203,api!$A$2:$R$334,14,FALSE)</f>
        <v>033-461-0056</v>
      </c>
      <c r="L203" t="str">
        <f>VLOOKUP(B203,api!$A$2:$R$334,4,FALSE)</f>
        <v>www.foresttrip.go.kr/indvz</v>
      </c>
      <c r="M203">
        <f>VLOOKUP(B203,api!$A$2:$R$334,5,FALSE)</f>
        <v>3.9</v>
      </c>
      <c r="N203">
        <f>VLOOKUP(B203,api!$A$2:$R$334,6,FALSE)</f>
        <v>15</v>
      </c>
      <c r="O203">
        <f>VLOOKUP(B203,api!$A$2:$R$334,7,FALSE)</f>
        <v>35</v>
      </c>
      <c r="P203">
        <f>VLOOKUP(A203,budget!$A$5:$I$337,6,FALSE)</f>
        <v>1000</v>
      </c>
      <c r="Q203">
        <f>VLOOKUP(A203,budget!$A$5:$I$337,7,FALSE)</f>
        <v>5000</v>
      </c>
      <c r="R203" t="str">
        <f>VLOOKUP(A203,budget!$A$5:$I$337,8,FALSE)</f>
        <v>국공립/민간 휴양림 입장료 기준 (숙박/체험비 제외)</v>
      </c>
      <c r="S203" t="str">
        <f>VLOOKUP(A203,budget!$A$5:$I$337,9,FALSE)</f>
        <v>http://place.map.kakao.com/8655510</v>
      </c>
      <c r="T203">
        <f>VLOOKUP(B203,api!$A$2:$R$334,17,FALSE)</f>
        <v>128.32016673868301</v>
      </c>
      <c r="U203">
        <f>VLOOKUP(B203,api!$A$2:$R$334,18,FALSE)</f>
        <v>38.034719150532702</v>
      </c>
    </row>
    <row r="204" spans="1:21" x14ac:dyDescent="0.3">
      <c r="A204">
        <v>8628089</v>
      </c>
      <c r="B204" t="s">
        <v>203</v>
      </c>
      <c r="C204" t="str">
        <f>VLOOKUP(A204,budget!$A$5:$I$337,3,FALSE)</f>
        <v>학저수지</v>
      </c>
      <c r="D204" t="str">
        <f>VLOOKUP(B204,api!$A$2:$R$334,2,FALSE)</f>
        <v>철원군</v>
      </c>
      <c r="E204" t="str">
        <f>VLOOKUP(B204,api!$A$2:$R$334,12,FALSE)</f>
        <v>강원특별자치도 철원군 동송읍 오덕리 582-1</v>
      </c>
      <c r="F204" t="s">
        <v>226</v>
      </c>
      <c r="G204" t="str">
        <f>VLOOKUP(A204,budget!$A$5:$I$337,4,FALSE)</f>
        <v>자연경관/자유관광지</v>
      </c>
      <c r="H204" t="s">
        <v>799</v>
      </c>
      <c r="I204" t="s">
        <v>800</v>
      </c>
      <c r="J204" t="str">
        <f>VLOOKUP(A204,budget!$A$5:$I$337,5,FALSE)</f>
        <v>상시 개방</v>
      </c>
      <c r="K204">
        <f>VLOOKUP(B204,api!$A$2:$R$334,14,FALSE)</f>
        <v>0</v>
      </c>
      <c r="L204">
        <f>VLOOKUP(B204,api!$A$2:$R$334,4,FALSE)</f>
        <v>0</v>
      </c>
      <c r="M204">
        <f>VLOOKUP(B204,api!$A$2:$R$334,5,FALSE)</f>
        <v>4.3</v>
      </c>
      <c r="N204">
        <f>VLOOKUP(B204,api!$A$2:$R$334,6,FALSE)</f>
        <v>12</v>
      </c>
      <c r="O204">
        <f>VLOOKUP(B204,api!$A$2:$R$334,7,FALSE)</f>
        <v>13</v>
      </c>
      <c r="P204">
        <f>VLOOKUP(A204,budget!$A$5:$I$337,6,FALSE)</f>
        <v>0</v>
      </c>
      <c r="Q204">
        <f>VLOOKUP(A204,budget!$A$5:$I$337,7,FALSE)</f>
        <v>0</v>
      </c>
      <c r="R204" t="str">
        <f>VLOOKUP(A204,budget!$A$5:$I$337,8,FALSE)</f>
        <v>상시 무료 관람 (식음료 및 개인소모품비 제외)</v>
      </c>
      <c r="S204" t="str">
        <f>VLOOKUP(A204,budget!$A$5:$I$337,9,FALSE)</f>
        <v>http://place.map.kakao.com/8628089</v>
      </c>
      <c r="T204">
        <f>VLOOKUP(B204,api!$A$2:$R$334,17,FALSE)</f>
        <v>127.229863131345</v>
      </c>
      <c r="U204">
        <f>VLOOKUP(B204,api!$A$2:$R$334,18,FALSE)</f>
        <v>38.233767769619199</v>
      </c>
    </row>
    <row r="205" spans="1:21" x14ac:dyDescent="0.3">
      <c r="A205">
        <v>10171013</v>
      </c>
      <c r="B205" t="s">
        <v>204</v>
      </c>
      <c r="C205" t="str">
        <f>VLOOKUP(A205,budget!$A$5:$I$337,3,FALSE)</f>
        <v>검룡소</v>
      </c>
      <c r="D205" t="str">
        <f>VLOOKUP(B205,api!$A$2:$R$334,2,FALSE)</f>
        <v>태백시</v>
      </c>
      <c r="E205" t="str">
        <f>VLOOKUP(B205,api!$A$2:$R$334,12,FALSE)</f>
        <v>강원특별자치도 태백시 창죽동 산 1-1</v>
      </c>
      <c r="F205" t="s">
        <v>226</v>
      </c>
      <c r="G205" t="str">
        <f>VLOOKUP(A205,budget!$A$5:$I$337,4,FALSE)</f>
        <v>자연경관/자유관광지</v>
      </c>
      <c r="J205" t="str">
        <f>VLOOKUP(A205,budget!$A$5:$I$337,5,FALSE)</f>
        <v>상시 개방</v>
      </c>
      <c r="K205">
        <f>VLOOKUP(B205,api!$A$2:$R$334,14,FALSE)</f>
        <v>0</v>
      </c>
      <c r="L205" t="str">
        <f>VLOOKUP(B205,api!$A$2:$R$334,4,FALSE)</f>
        <v>https://www.paleozoicgp.com/</v>
      </c>
      <c r="M205">
        <f>VLOOKUP(B205,api!$A$2:$R$334,5,FALSE)</f>
        <v>4.5999999999999996</v>
      </c>
      <c r="N205">
        <f>VLOOKUP(B205,api!$A$2:$R$334,6,FALSE)</f>
        <v>29</v>
      </c>
      <c r="O205">
        <f>VLOOKUP(B205,api!$A$2:$R$334,7,FALSE)</f>
        <v>50</v>
      </c>
      <c r="P205">
        <f>VLOOKUP(A205,budget!$A$5:$I$337,6,FALSE)</f>
        <v>0</v>
      </c>
      <c r="Q205">
        <f>VLOOKUP(A205,budget!$A$5:$I$337,7,FALSE)</f>
        <v>0</v>
      </c>
      <c r="R205" t="str">
        <f>VLOOKUP(A205,budget!$A$5:$I$337,8,FALSE)</f>
        <v>상시 무료 관람 (식음료 및 개인소모품비 제외)</v>
      </c>
      <c r="S205" t="str">
        <f>VLOOKUP(A205,budget!$A$5:$I$337,9,FALSE)</f>
        <v>http://place.map.kakao.com/10171013</v>
      </c>
      <c r="T205">
        <f>VLOOKUP(B205,api!$A$2:$R$334,17,FALSE)</f>
        <v>128.92419677204501</v>
      </c>
      <c r="U205">
        <f>VLOOKUP(B205,api!$A$2:$R$334,18,FALSE)</f>
        <v>37.227600339481498</v>
      </c>
    </row>
    <row r="206" spans="1:21" x14ac:dyDescent="0.3">
      <c r="A206">
        <v>8599511</v>
      </c>
      <c r="B206" t="s">
        <v>205</v>
      </c>
      <c r="C206" t="str">
        <f>VLOOKUP(A206,budget!$A$5:$I$337,3,FALSE)</f>
        <v>한반도섬</v>
      </c>
      <c r="D206" t="str">
        <f>VLOOKUP(B206,api!$A$2:$R$334,2,FALSE)</f>
        <v>양구군</v>
      </c>
      <c r="E206" t="str">
        <f>VLOOKUP(B206,api!$A$2:$R$334,12,FALSE)</f>
        <v>강원특별자치도 양구군 양구읍 고대리 647-1</v>
      </c>
      <c r="F206" t="s">
        <v>226</v>
      </c>
      <c r="G206" t="str">
        <f>VLOOKUP(A206,budget!$A$5:$I$337,4,FALSE)</f>
        <v>자연경관/자유관광지</v>
      </c>
      <c r="H206" t="s">
        <v>799</v>
      </c>
      <c r="I206" t="s">
        <v>800</v>
      </c>
      <c r="J206" t="str">
        <f>VLOOKUP(A206,budget!$A$5:$I$337,5,FALSE)</f>
        <v>상시 개방</v>
      </c>
      <c r="K206">
        <f>VLOOKUP(B206,api!$A$2:$R$334,14,FALSE)</f>
        <v>0</v>
      </c>
      <c r="L206" t="str">
        <f>VLOOKUP(B206,api!$A$2:$R$334,4,FALSE)</f>
        <v>https://www.ygtour.kr/Home/index</v>
      </c>
      <c r="M206">
        <f>VLOOKUP(B206,api!$A$2:$R$334,5,FALSE)</f>
        <v>4</v>
      </c>
      <c r="N206">
        <f>VLOOKUP(B206,api!$A$2:$R$334,6,FALSE)</f>
        <v>62</v>
      </c>
      <c r="O206">
        <f>VLOOKUP(B206,api!$A$2:$R$334,7,FALSE)</f>
        <v>102</v>
      </c>
      <c r="P206">
        <f>VLOOKUP(A206,budget!$A$5:$I$337,6,FALSE)</f>
        <v>0</v>
      </c>
      <c r="Q206">
        <f>VLOOKUP(A206,budget!$A$5:$I$337,7,FALSE)</f>
        <v>0</v>
      </c>
      <c r="R206" t="str">
        <f>VLOOKUP(A206,budget!$A$5:$I$337,8,FALSE)</f>
        <v>상시 무료 관람 (식음료 및 개인소모품비 제외)</v>
      </c>
      <c r="S206" t="str">
        <f>VLOOKUP(A206,budget!$A$5:$I$337,9,FALSE)</f>
        <v>http://place.map.kakao.com/8599511</v>
      </c>
      <c r="T206">
        <f>VLOOKUP(B206,api!$A$2:$R$334,17,FALSE)</f>
        <v>127.982760869518</v>
      </c>
      <c r="U206">
        <f>VLOOKUP(B206,api!$A$2:$R$334,18,FALSE)</f>
        <v>38.130612497991002</v>
      </c>
    </row>
    <row r="207" spans="1:21" x14ac:dyDescent="0.3">
      <c r="A207">
        <v>1453704804</v>
      </c>
      <c r="B207" t="s">
        <v>206</v>
      </c>
      <c r="C207" t="str">
        <f>VLOOKUP(A207,budget!$A$5:$I$337,3,FALSE)</f>
        <v>한반도전기카트체험장</v>
      </c>
      <c r="D207" t="str">
        <f>VLOOKUP(B207,api!$A$2:$R$334,2,FALSE)</f>
        <v>영월군</v>
      </c>
      <c r="E207" t="str">
        <f>VLOOKUP(B207,api!$A$2:$R$334,12,FALSE)</f>
        <v>강원특별자치도 영월군 한반도면 신천리 593-1</v>
      </c>
      <c r="F207" t="s">
        <v>226</v>
      </c>
      <c r="G207" t="str">
        <f>VLOOKUP(A207,budget!$A$5:$I$337,4,FALSE)</f>
        <v>체험/액티비티</v>
      </c>
      <c r="J207" t="str">
        <f>VLOOKUP(A207,budget!$A$5:$I$337,5,FALSE)</f>
        <v>10:00 - 18:00 (동절기/우천 시 변동)</v>
      </c>
      <c r="K207" t="str">
        <f>VLOOKUP(B207,api!$A$2:$R$334,14,FALSE)</f>
        <v>033-372-0020</v>
      </c>
      <c r="L207" t="str">
        <f>VLOOKUP(B207,api!$A$2:$R$334,4,FALSE)</f>
        <v>http://www.younghero.kr/default/</v>
      </c>
      <c r="M207">
        <f>VLOOKUP(B207,api!$A$2:$R$334,5,FALSE)</f>
        <v>3.7</v>
      </c>
      <c r="N207">
        <f>VLOOKUP(B207,api!$A$2:$R$334,6,FALSE)</f>
        <v>14</v>
      </c>
      <c r="O207">
        <f>VLOOKUP(B207,api!$A$2:$R$334,7,FALSE)</f>
        <v>56</v>
      </c>
      <c r="P207">
        <f>VLOOKUP(A207,budget!$A$5:$I$337,6,FALSE)</f>
        <v>10000</v>
      </c>
      <c r="Q207">
        <f>VLOOKUP(A207,budget!$A$5:$I$337,7,FALSE)</f>
        <v>35000</v>
      </c>
      <c r="R207" t="str">
        <f>VLOOKUP(A207,budget!$A$5:$I$337,8,FALSE)</f>
        <v>1인 승선/체험권 기준 (코스 및 이용 상품에 따라 변동)</v>
      </c>
      <c r="S207" t="str">
        <f>VLOOKUP(A207,budget!$A$5:$I$337,9,FALSE)</f>
        <v>http://place.map.kakao.com/1453704804</v>
      </c>
      <c r="T207">
        <f>VLOOKUP(B207,api!$A$2:$R$334,17,FALSE)</f>
        <v>128.33745500439699</v>
      </c>
      <c r="U207">
        <f>VLOOKUP(B207,api!$A$2:$R$334,18,FALSE)</f>
        <v>37.2317755015834</v>
      </c>
    </row>
    <row r="208" spans="1:21" x14ac:dyDescent="0.3">
      <c r="A208">
        <v>8142162</v>
      </c>
      <c r="B208" t="s">
        <v>207</v>
      </c>
      <c r="C208" t="str">
        <f>VLOOKUP(A208,budget!$A$5:$I$337,3,FALSE)</f>
        <v>한섬해변</v>
      </c>
      <c r="D208" t="str">
        <f>VLOOKUP(B208,api!$A$2:$R$334,2,FALSE)</f>
        <v>동해시</v>
      </c>
      <c r="E208" t="str">
        <f>VLOOKUP(B208,api!$A$2:$R$334,12,FALSE)</f>
        <v>강원특별자치도 동해시 천곡동 45-1</v>
      </c>
      <c r="F208" t="s">
        <v>226</v>
      </c>
      <c r="G208" t="str">
        <f>VLOOKUP(A208,budget!$A$5:$I$337,4,FALSE)</f>
        <v>자연경관/자유관광지</v>
      </c>
      <c r="H208" t="s">
        <v>799</v>
      </c>
      <c r="I208" t="s">
        <v>800</v>
      </c>
      <c r="J208" t="str">
        <f>VLOOKUP(A208,budget!$A$5:$I$337,5,FALSE)</f>
        <v>24시간 연중무휴 (자유 방문)</v>
      </c>
      <c r="K208" t="str">
        <f>VLOOKUP(B208,api!$A$2:$R$334,14,FALSE)</f>
        <v>033-530-2478</v>
      </c>
      <c r="L208" t="str">
        <f>VLOOKUP(B208,api!$A$2:$R$334,4,FALSE)</f>
        <v>https://www.dh.go.kr/tour/</v>
      </c>
      <c r="M208">
        <f>VLOOKUP(B208,api!$A$2:$R$334,5,FALSE)</f>
        <v>4.7</v>
      </c>
      <c r="N208">
        <f>VLOOKUP(B208,api!$A$2:$R$334,6,FALSE)</f>
        <v>99</v>
      </c>
      <c r="O208">
        <f>VLOOKUP(B208,api!$A$2:$R$334,7,FALSE)</f>
        <v>9</v>
      </c>
      <c r="P208">
        <f>VLOOKUP(A208,budget!$A$5:$I$337,6,FALSE)</f>
        <v>0</v>
      </c>
      <c r="Q208">
        <f>VLOOKUP(A208,budget!$A$5:$I$337,7,FALSE)</f>
        <v>0</v>
      </c>
      <c r="R208" t="str">
        <f>VLOOKUP(A208,budget!$A$5:$I$337,8,FALSE)</f>
        <v>상시 무료 관람 (식음료 및 개인소모품비 제외)</v>
      </c>
      <c r="S208" t="str">
        <f>VLOOKUP(A208,budget!$A$5:$I$337,9,FALSE)</f>
        <v>http://place.map.kakao.com/8142162</v>
      </c>
      <c r="T208">
        <f>VLOOKUP(B208,api!$A$2:$R$334,17,FALSE)</f>
        <v>129.12194313700601</v>
      </c>
      <c r="U208">
        <f>VLOOKUP(B208,api!$A$2:$R$334,18,FALSE)</f>
        <v>37.520193835167703</v>
      </c>
    </row>
    <row r="209" spans="1:21" x14ac:dyDescent="0.3">
      <c r="A209">
        <v>14918317</v>
      </c>
      <c r="B209" t="s">
        <v>208</v>
      </c>
      <c r="C209" t="str">
        <f>VLOOKUP(A209,budget!$A$5:$I$337,3,FALSE)</f>
        <v>원주한지테마파크</v>
      </c>
      <c r="D209" t="str">
        <f>VLOOKUP(B209,api!$A$2:$R$334,2,FALSE)</f>
        <v>원주시</v>
      </c>
      <c r="E209" t="str">
        <f>VLOOKUP(B209,api!$A$2:$R$334,12,FALSE)</f>
        <v>강원특별자치도 원주시 무실동 16</v>
      </c>
      <c r="F209" t="s">
        <v>226</v>
      </c>
      <c r="G209" t="str">
        <f>VLOOKUP(A209,budget!$A$5:$I$337,4,FALSE)</f>
        <v>자연경관/자유관광지</v>
      </c>
      <c r="H209" t="s">
        <v>799</v>
      </c>
      <c r="I209" t="s">
        <v>800</v>
      </c>
      <c r="J209" t="str">
        <f>VLOOKUP(A209,budget!$A$5:$I$337,5,FALSE)</f>
        <v>상시 개방</v>
      </c>
      <c r="K209" t="str">
        <f>VLOOKUP(B209,api!$A$2:$R$334,14,FALSE)</f>
        <v>033-734-4739</v>
      </c>
      <c r="L209" t="str">
        <f>VLOOKUP(B209,api!$A$2:$R$334,4,FALSE)</f>
        <v>https://www.hanjipark.com/</v>
      </c>
      <c r="M209">
        <f>VLOOKUP(B209,api!$A$2:$R$334,5,FALSE)</f>
        <v>4.2</v>
      </c>
      <c r="N209">
        <f>VLOOKUP(B209,api!$A$2:$R$334,6,FALSE)</f>
        <v>30</v>
      </c>
      <c r="O209">
        <f>VLOOKUP(B209,api!$A$2:$R$334,7,FALSE)</f>
        <v>284</v>
      </c>
      <c r="P209">
        <f>VLOOKUP(A209,budget!$A$5:$I$337,6,FALSE)</f>
        <v>0</v>
      </c>
      <c r="Q209">
        <f>VLOOKUP(A209,budget!$A$5:$I$337,7,FALSE)</f>
        <v>0</v>
      </c>
      <c r="R209" t="str">
        <f>VLOOKUP(A209,budget!$A$5:$I$337,8,FALSE)</f>
        <v>상시 무료 관람 (식음료 및 개인소모품비 제외)</v>
      </c>
      <c r="S209" t="str">
        <f>VLOOKUP(A209,budget!$A$5:$I$337,9,FALSE)</f>
        <v>http://place.map.kakao.com/14918317</v>
      </c>
      <c r="T209">
        <f>VLOOKUP(B209,api!$A$2:$R$334,17,FALSE)</f>
        <v>127.935155361003</v>
      </c>
      <c r="U209">
        <f>VLOOKUP(B209,api!$A$2:$R$334,18,FALSE)</f>
        <v>37.335110750104697</v>
      </c>
    </row>
    <row r="210" spans="1:21" x14ac:dyDescent="0.3">
      <c r="A210">
        <v>8164763</v>
      </c>
      <c r="B210" t="s">
        <v>209</v>
      </c>
      <c r="C210" t="str">
        <f>VLOOKUP(A210,budget!$A$5:$I$337,3,FALSE)</f>
        <v>해신당공원</v>
      </c>
      <c r="D210" t="str">
        <f>VLOOKUP(B210,api!$A$2:$R$334,2,FALSE)</f>
        <v>삼척시</v>
      </c>
      <c r="E210" t="str">
        <f>VLOOKUP(B210,api!$A$2:$R$334,12,FALSE)</f>
        <v>강원특별자치도 삼척시 원덕읍 갈남리 301</v>
      </c>
      <c r="F210" t="s">
        <v>226</v>
      </c>
      <c r="G210" t="str">
        <f>VLOOKUP(A210,budget!$A$5:$I$337,4,FALSE)</f>
        <v>자연경관/자유관광지</v>
      </c>
      <c r="J210" t="str">
        <f>VLOOKUP(A210,budget!$A$5:$I$337,5,FALSE)</f>
        <v>24시간 연중무휴 (자유 방문)</v>
      </c>
      <c r="K210" t="str">
        <f>VLOOKUP(B210,api!$A$2:$R$334,14,FALSE)</f>
        <v>033-572-4429</v>
      </c>
      <c r="L210" t="str">
        <f>VLOOKUP(B210,api!$A$2:$R$334,4,FALSE)</f>
        <v>https://www.samcheok.go.kr/tour.web</v>
      </c>
      <c r="M210">
        <f>VLOOKUP(B210,api!$A$2:$R$334,5,FALSE)</f>
        <v>3.7</v>
      </c>
      <c r="N210">
        <f>VLOOKUP(B210,api!$A$2:$R$334,6,FALSE)</f>
        <v>25</v>
      </c>
      <c r="O210">
        <f>VLOOKUP(B210,api!$A$2:$R$334,7,FALSE)</f>
        <v>49</v>
      </c>
      <c r="P210">
        <f>VLOOKUP(A210,budget!$A$5:$I$337,6,FALSE)</f>
        <v>0</v>
      </c>
      <c r="Q210">
        <f>VLOOKUP(A210,budget!$A$5:$I$337,7,FALSE)</f>
        <v>0</v>
      </c>
      <c r="R210" t="str">
        <f>VLOOKUP(A210,budget!$A$5:$I$337,8,FALSE)</f>
        <v>상시 무료 관람 (식음료 및 개인소모품비 제외)</v>
      </c>
      <c r="S210" t="str">
        <f>VLOOKUP(A210,budget!$A$5:$I$337,9,FALSE)</f>
        <v>http://place.map.kakao.com/8164763</v>
      </c>
      <c r="T210">
        <f>VLOOKUP(B210,api!$A$2:$R$334,17,FALSE)</f>
        <v>129.32687942600199</v>
      </c>
      <c r="U210">
        <f>VLOOKUP(B210,api!$A$2:$R$334,18,FALSE)</f>
        <v>37.268407041183004</v>
      </c>
    </row>
    <row r="211" spans="1:21" x14ac:dyDescent="0.3">
      <c r="A211">
        <v>25626005</v>
      </c>
      <c r="B211" t="s">
        <v>210</v>
      </c>
      <c r="C211" t="str">
        <f>VLOOKUP(A211,budget!$A$5:$I$337,3,FALSE)</f>
        <v>행구수변공원</v>
      </c>
      <c r="D211" t="str">
        <f>VLOOKUP(B211,api!$A$2:$R$334,2,FALSE)</f>
        <v>원주시</v>
      </c>
      <c r="E211" t="str">
        <f>VLOOKUP(B211,api!$A$2:$R$334,12,FALSE)</f>
        <v>강원특별자치도 원주시 행구동 1026</v>
      </c>
      <c r="F211" t="s">
        <v>226</v>
      </c>
      <c r="G211" t="str">
        <f>VLOOKUP(A211,budget!$A$5:$I$337,4,FALSE)</f>
        <v>자연경관/자유관광지</v>
      </c>
      <c r="J211" t="str">
        <f>VLOOKUP(A211,budget!$A$5:$I$337,5,FALSE)</f>
        <v>24시간 연중무휴 (자유 방문)</v>
      </c>
      <c r="K211">
        <f>VLOOKUP(B211,api!$A$2:$R$334,14,FALSE)</f>
        <v>0</v>
      </c>
      <c r="L211">
        <f>VLOOKUP(B211,api!$A$2:$R$334,4,FALSE)</f>
        <v>0</v>
      </c>
      <c r="M211">
        <f>VLOOKUP(B211,api!$A$2:$R$334,5,FALSE)</f>
        <v>4.9000000000000004</v>
      </c>
      <c r="N211">
        <f>VLOOKUP(B211,api!$A$2:$R$334,6,FALSE)</f>
        <v>15</v>
      </c>
      <c r="O211">
        <f>VLOOKUP(B211,api!$A$2:$R$334,7,FALSE)</f>
        <v>57</v>
      </c>
      <c r="P211">
        <f>VLOOKUP(A211,budget!$A$5:$I$337,6,FALSE)</f>
        <v>0</v>
      </c>
      <c r="Q211">
        <f>VLOOKUP(A211,budget!$A$5:$I$337,7,FALSE)</f>
        <v>0</v>
      </c>
      <c r="R211" t="str">
        <f>VLOOKUP(A211,budget!$A$5:$I$337,8,FALSE)</f>
        <v>상시 무료 관람 (식음료 및 개인소모품비 제외)</v>
      </c>
      <c r="S211" t="str">
        <f>VLOOKUP(A211,budget!$A$5:$I$337,9,FALSE)</f>
        <v>http://place.map.kakao.com/25626005</v>
      </c>
      <c r="T211">
        <f>VLOOKUP(B211,api!$A$2:$R$334,17,FALSE)</f>
        <v>127.99570449097099</v>
      </c>
      <c r="U211">
        <f>VLOOKUP(B211,api!$A$2:$R$334,18,FALSE)</f>
        <v>37.3430066940277</v>
      </c>
    </row>
    <row r="212" spans="1:21" x14ac:dyDescent="0.3">
      <c r="A212">
        <v>17344148</v>
      </c>
      <c r="B212" t="s">
        <v>211</v>
      </c>
      <c r="C212" t="str">
        <f>VLOOKUP(A212,budget!$A$5:$I$337,3,FALSE)</f>
        <v>허균허난설헌기념공원</v>
      </c>
      <c r="D212" t="str">
        <f>VLOOKUP(B212,api!$A$2:$R$334,2,FALSE)</f>
        <v>강릉시</v>
      </c>
      <c r="E212" t="str">
        <f>VLOOKUP(B212,api!$A$2:$R$334,12,FALSE)</f>
        <v>강원특별자치도 강릉시 초당동 477</v>
      </c>
      <c r="F212" t="s">
        <v>226</v>
      </c>
      <c r="G212" t="str">
        <f>VLOOKUP(A212,budget!$A$5:$I$337,4,FALSE)</f>
        <v>자연경관/자유관광지</v>
      </c>
      <c r="J212" t="str">
        <f>VLOOKUP(A212,budget!$A$5:$I$337,5,FALSE)</f>
        <v>24시간 연중무휴 (자유 방문)</v>
      </c>
      <c r="K212" t="str">
        <f>VLOOKUP(B212,api!$A$2:$R$334,14,FALSE)</f>
        <v>033-640-4798</v>
      </c>
      <c r="L212" t="str">
        <f>VLOOKUP(B212,api!$A$2:$R$334,4,FALSE)</f>
        <v>https://www.gn.go.kr/tour/prog/lod/Sights/S02/sub02_03_01/view.do?cid=27</v>
      </c>
      <c r="M212">
        <f>VLOOKUP(B212,api!$A$2:$R$334,5,FALSE)</f>
        <v>4.7</v>
      </c>
      <c r="N212">
        <f>VLOOKUP(B212,api!$A$2:$R$334,6,FALSE)</f>
        <v>78</v>
      </c>
      <c r="O212">
        <f>VLOOKUP(B212,api!$A$2:$R$334,7,FALSE)</f>
        <v>196</v>
      </c>
      <c r="P212">
        <f>VLOOKUP(A212,budget!$A$5:$I$337,6,FALSE)</f>
        <v>0</v>
      </c>
      <c r="Q212">
        <f>VLOOKUP(A212,budget!$A$5:$I$337,7,FALSE)</f>
        <v>0</v>
      </c>
      <c r="R212" t="str">
        <f>VLOOKUP(A212,budget!$A$5:$I$337,8,FALSE)</f>
        <v>상시 무료 관람 (식음료 및 개인소모품비 제외)</v>
      </c>
      <c r="S212" t="str">
        <f>VLOOKUP(A212,budget!$A$5:$I$337,9,FALSE)</f>
        <v>http://place.map.kakao.com/17344148</v>
      </c>
      <c r="T212">
        <f>VLOOKUP(B212,api!$A$2:$R$334,17,FALSE)</f>
        <v>128.909497730319</v>
      </c>
      <c r="U212">
        <f>VLOOKUP(B212,api!$A$2:$R$334,18,FALSE)</f>
        <v>37.791432355843902</v>
      </c>
    </row>
    <row r="213" spans="1:21" x14ac:dyDescent="0.3">
      <c r="A213">
        <v>24372688</v>
      </c>
      <c r="B213" t="s">
        <v>212</v>
      </c>
      <c r="C213" t="str">
        <f>VLOOKUP(A213,budget!$A$5:$I$337,3,FALSE)</f>
        <v>홍천강오토캠핑장</v>
      </c>
      <c r="D213" t="str">
        <f>VLOOKUP(B213,api!$A$2:$R$334,2,FALSE)</f>
        <v>홍천군</v>
      </c>
      <c r="E213" t="str">
        <f>VLOOKUP(B213,api!$A$2:$R$334,12,FALSE)</f>
        <v>강원특별자치도 홍천군 북방면 장항리 200-1</v>
      </c>
      <c r="F213" t="s">
        <v>226</v>
      </c>
      <c r="G213" t="str">
        <f>VLOOKUP(A213,budget!$A$5:$I$337,4,FALSE)</f>
        <v>캠핑/숙박시설</v>
      </c>
      <c r="H213" t="s">
        <v>908</v>
      </c>
      <c r="I213" t="s">
        <v>909</v>
      </c>
      <c r="J213" t="str">
        <f>VLOOKUP(A213,budget!$A$5:$I$337,5,FALSE)</f>
        <v>입실 14:00 / 퇴실 11:00 (상시)</v>
      </c>
      <c r="K213" t="str">
        <f>VLOOKUP(B213,api!$A$2:$R$334,14,FALSE)</f>
        <v>033-430-2498</v>
      </c>
      <c r="L213" t="str">
        <f>VLOOKUP(B213,api!$A$2:$R$334,4,FALSE)</f>
        <v>https://www.hongcheon.go.kr/tour/contents.do?key=1879</v>
      </c>
      <c r="M213">
        <f>VLOOKUP(B213,api!$A$2:$R$334,5,FALSE)</f>
        <v>3.7</v>
      </c>
      <c r="N213">
        <f>VLOOKUP(B213,api!$A$2:$R$334,6,FALSE)</f>
        <v>13</v>
      </c>
      <c r="O213">
        <f>VLOOKUP(B213,api!$A$2:$R$334,7,FALSE)</f>
        <v>15</v>
      </c>
      <c r="P213">
        <f>VLOOKUP(A213,budget!$A$5:$I$337,6,FALSE)</f>
        <v>0</v>
      </c>
      <c r="Q213">
        <f>VLOOKUP(A213,budget!$A$5:$I$337,7,FALSE)</f>
        <v>0</v>
      </c>
      <c r="R213" t="str">
        <f>VLOOKUP(A213,budget!$A$5:$I$337,8,FALSE)</f>
        <v>시설 이용 고객 대상 (단순 둘러보기/입장 무료)</v>
      </c>
      <c r="S213" t="str">
        <f>VLOOKUP(A213,budget!$A$5:$I$337,9,FALSE)</f>
        <v>http://place.map.kakao.com/24372688</v>
      </c>
      <c r="T213">
        <f>VLOOKUP(B213,api!$A$2:$R$334,17,FALSE)</f>
        <v>127.78723121172099</v>
      </c>
      <c r="U213">
        <f>VLOOKUP(B213,api!$A$2:$R$334,18,FALSE)</f>
        <v>37.690280644063002</v>
      </c>
    </row>
    <row r="214" spans="1:21" x14ac:dyDescent="0.3">
      <c r="A214">
        <v>1770086335</v>
      </c>
      <c r="B214" t="s">
        <v>213</v>
      </c>
      <c r="C214" t="str">
        <f>VLOOKUP(A214,budget!$A$5:$I$337,3,FALSE)</f>
        <v>홍천무궁화수목원</v>
      </c>
      <c r="D214" t="str">
        <f>VLOOKUP(B214,api!$A$2:$R$334,2,FALSE)</f>
        <v>홍천군</v>
      </c>
      <c r="E214" t="str">
        <f>VLOOKUP(B214,api!$A$2:$R$334,12,FALSE)</f>
        <v>강원특별자치도 홍천군 북방면 능평리 산 57</v>
      </c>
      <c r="F214" t="s">
        <v>226</v>
      </c>
      <c r="G214" t="str">
        <f>VLOOKUP(A214,budget!$A$5:$I$337,4,FALSE)</f>
        <v>휴양림/수목원</v>
      </c>
      <c r="H214" t="s">
        <v>799</v>
      </c>
      <c r="I214" t="s">
        <v>800</v>
      </c>
      <c r="J214" t="str">
        <f>VLOOKUP(A214,budget!$A$5:$I$337,5,FALSE)</f>
        <v>09:00 - 18:00 (하절기) / 09:00 - 17:00 (동절기)</v>
      </c>
      <c r="K214" t="str">
        <f>VLOOKUP(B214,api!$A$2:$R$334,14,FALSE)</f>
        <v>033-430-2774</v>
      </c>
      <c r="L214" t="str">
        <f>VLOOKUP(B214,api!$A$2:$R$334,4,FALSE)</f>
        <v>https://www.hongcheon.go.kr/mugunghwa</v>
      </c>
      <c r="M214">
        <f>VLOOKUP(B214,api!$A$2:$R$334,5,FALSE)</f>
        <v>4.8</v>
      </c>
      <c r="N214">
        <f>VLOOKUP(B214,api!$A$2:$R$334,6,FALSE)</f>
        <v>33</v>
      </c>
      <c r="O214">
        <f>VLOOKUP(B214,api!$A$2:$R$334,7,FALSE)</f>
        <v>165</v>
      </c>
      <c r="P214">
        <f>VLOOKUP(A214,budget!$A$5:$I$337,6,FALSE)</f>
        <v>1000</v>
      </c>
      <c r="Q214">
        <f>VLOOKUP(A214,budget!$A$5:$I$337,7,FALSE)</f>
        <v>5000</v>
      </c>
      <c r="R214" t="str">
        <f>VLOOKUP(A214,budget!$A$5:$I$337,8,FALSE)</f>
        <v>국공립/민간 휴양림 입장료 기준 (숙박/체험비 제외)</v>
      </c>
      <c r="S214" t="str">
        <f>VLOOKUP(A214,budget!$A$5:$I$337,9,FALSE)</f>
        <v>http://place.map.kakao.com/1770086335</v>
      </c>
      <c r="T214">
        <f>VLOOKUP(B214,api!$A$2:$R$334,17,FALSE)</f>
        <v>127.833964580814</v>
      </c>
      <c r="U214">
        <f>VLOOKUP(B214,api!$A$2:$R$334,18,FALSE)</f>
        <v>37.7224764908879</v>
      </c>
    </row>
    <row r="215" spans="1:21" x14ac:dyDescent="0.3">
      <c r="A215">
        <v>26163339</v>
      </c>
      <c r="B215" t="s">
        <v>214</v>
      </c>
      <c r="C215" t="str">
        <f>VLOOKUP(A215,budget!$A$5:$I$337,3,FALSE)</f>
        <v>홍천미술관</v>
      </c>
      <c r="D215" t="str">
        <f>VLOOKUP(B215,api!$A$2:$R$334,2,FALSE)</f>
        <v>홍천군</v>
      </c>
      <c r="E215" t="str">
        <f>VLOOKUP(B215,api!$A$2:$R$334,12,FALSE)</f>
        <v>강원특별자치도 홍천군 홍천읍 희망리 149-2</v>
      </c>
      <c r="F215" t="s">
        <v>225</v>
      </c>
      <c r="G215" t="str">
        <f>VLOOKUP(A215,budget!$A$5:$I$337,4,FALSE)</f>
        <v>문화/전람/동굴/전망시설</v>
      </c>
      <c r="H215" t="s">
        <v>792</v>
      </c>
      <c r="I215" t="s">
        <v>793</v>
      </c>
      <c r="J215" t="str">
        <f>VLOOKUP(A215,budget!$A$5:$I$337,5,FALSE)</f>
        <v>09:00 - 18:00 (입장마감 17:00, 월요일 휴무)</v>
      </c>
      <c r="K215" t="str">
        <f>VLOOKUP(B215,api!$A$2:$R$334,14,FALSE)</f>
        <v>033-430-4380</v>
      </c>
      <c r="L215" t="str">
        <f>VLOOKUP(B215,api!$A$2:$R$334,4,FALSE)</f>
        <v>https://www.hongcheon.go.kr/</v>
      </c>
      <c r="M215">
        <f>VLOOKUP(B215,api!$A$2:$R$334,5,FALSE)</f>
        <v>5</v>
      </c>
      <c r="N215">
        <f>VLOOKUP(B215,api!$A$2:$R$334,6,FALSE)</f>
        <v>3</v>
      </c>
      <c r="O215">
        <f>VLOOKUP(B215,api!$A$2:$R$334,7,FALSE)</f>
        <v>176</v>
      </c>
      <c r="P215">
        <f>VLOOKUP(A215,budget!$A$5:$I$337,6,FALSE)</f>
        <v>2000</v>
      </c>
      <c r="Q215">
        <f>VLOOKUP(A215,budget!$A$5:$I$337,7,FALSE)</f>
        <v>10000</v>
      </c>
      <c r="R215" t="str">
        <f>VLOOKUP(A215,budget!$A$5:$I$337,8,FALSE)</f>
        <v>대인 관람료 및 전망대/스카이워크 이용료 기준</v>
      </c>
      <c r="S215" t="str">
        <f>VLOOKUP(A215,budget!$A$5:$I$337,9,FALSE)</f>
        <v>http://place.map.kakao.com/26163339</v>
      </c>
      <c r="T215">
        <f>VLOOKUP(B215,api!$A$2:$R$334,17,FALSE)</f>
        <v>127.888894410887</v>
      </c>
      <c r="U215">
        <f>VLOOKUP(B215,api!$A$2:$R$334,18,FALSE)</f>
        <v>37.694646679178</v>
      </c>
    </row>
    <row r="216" spans="1:21" x14ac:dyDescent="0.3">
      <c r="A216">
        <v>80140621</v>
      </c>
      <c r="B216" t="s">
        <v>215</v>
      </c>
      <c r="C216" t="str">
        <f>VLOOKUP(A216,budget!$A$5:$I$337,3,FALSE)</f>
        <v>홍천박물관</v>
      </c>
      <c r="D216" t="str">
        <f>VLOOKUP(B216,api!$A$2:$R$334,2,FALSE)</f>
        <v>홍천군</v>
      </c>
      <c r="E216" t="str">
        <f>VLOOKUP(B216,api!$A$2:$R$334,12,FALSE)</f>
        <v>강원특별자치도 홍천군 홍천읍 연봉리 363-3</v>
      </c>
      <c r="F216" t="s">
        <v>225</v>
      </c>
      <c r="G216" t="str">
        <f>VLOOKUP(A216,budget!$A$5:$I$337,4,FALSE)</f>
        <v>문화/전람/동굴/전망시설</v>
      </c>
      <c r="H216" t="s">
        <v>792</v>
      </c>
      <c r="I216" t="s">
        <v>793</v>
      </c>
      <c r="J216" t="str">
        <f>VLOOKUP(A216,budget!$A$5:$I$337,5,FALSE)</f>
        <v>09:00 - 18:00 (입장마감 17:00, 월요일 휴무)</v>
      </c>
      <c r="K216" t="str">
        <f>VLOOKUP(B216,api!$A$2:$R$334,14,FALSE)</f>
        <v>033-430-2428</v>
      </c>
      <c r="L216" t="str">
        <f>VLOOKUP(B216,api!$A$2:$R$334,4,FALSE)</f>
        <v>https://www.hongcheon.go.kr/museum/</v>
      </c>
      <c r="M216">
        <f>VLOOKUP(B216,api!$A$2:$R$334,5,FALSE)</f>
        <v>5</v>
      </c>
      <c r="N216">
        <f>VLOOKUP(B216,api!$A$2:$R$334,6,FALSE)</f>
        <v>2</v>
      </c>
      <c r="O216">
        <f>VLOOKUP(B216,api!$A$2:$R$334,7,FALSE)</f>
        <v>73</v>
      </c>
      <c r="P216">
        <f>VLOOKUP(A216,budget!$A$5:$I$337,6,FALSE)</f>
        <v>2000</v>
      </c>
      <c r="Q216">
        <f>VLOOKUP(A216,budget!$A$5:$I$337,7,FALSE)</f>
        <v>10000</v>
      </c>
      <c r="R216" t="str">
        <f>VLOOKUP(A216,budget!$A$5:$I$337,8,FALSE)</f>
        <v>대인 관람료 및 전망대/스카이워크 이용료 기준</v>
      </c>
      <c r="S216" t="str">
        <f>VLOOKUP(A216,budget!$A$5:$I$337,9,FALSE)</f>
        <v>http://place.map.kakao.com/80140621</v>
      </c>
      <c r="T216">
        <f>VLOOKUP(B216,api!$A$2:$R$334,17,FALSE)</f>
        <v>127.871399425782</v>
      </c>
      <c r="U216">
        <f>VLOOKUP(B216,api!$A$2:$R$334,18,FALSE)</f>
        <v>37.681253095122699</v>
      </c>
    </row>
    <row r="217" spans="1:21" x14ac:dyDescent="0.3">
      <c r="A217">
        <v>11205448</v>
      </c>
      <c r="B217" t="s">
        <v>216</v>
      </c>
      <c r="C217" t="str">
        <f>VLOOKUP(A217,budget!$A$5:$I$337,3,FALSE)</f>
        <v>홍천생명건강과학관</v>
      </c>
      <c r="D217" t="str">
        <f>VLOOKUP(B217,api!$A$2:$R$334,2,FALSE)</f>
        <v>홍천군</v>
      </c>
      <c r="E217" t="str">
        <f>VLOOKUP(B217,api!$A$2:$R$334,12,FALSE)</f>
        <v>강원특별자치도 홍천군 홍천읍 연봉리 100-1</v>
      </c>
      <c r="F217" t="s">
        <v>225</v>
      </c>
      <c r="G217" t="str">
        <f>VLOOKUP(A217,budget!$A$5:$I$337,4,FALSE)</f>
        <v>자연경관/자유관광지</v>
      </c>
      <c r="H217" t="s">
        <v>792</v>
      </c>
      <c r="I217" t="s">
        <v>793</v>
      </c>
      <c r="J217" t="str">
        <f>VLOOKUP(A217,budget!$A$5:$I$337,5,FALSE)</f>
        <v>상시 개방</v>
      </c>
      <c r="K217" t="str">
        <f>VLOOKUP(B217,api!$A$2:$R$334,14,FALSE)</f>
        <v>033-430-2836</v>
      </c>
      <c r="L217" t="str">
        <f>VLOOKUP(B217,api!$A$2:$R$334,4,FALSE)</f>
        <v>https://www.hongcheon.go.kr/sciencecenter/index.do</v>
      </c>
      <c r="M217">
        <f>VLOOKUP(B217,api!$A$2:$R$334,5,FALSE)</f>
        <v>4.3</v>
      </c>
      <c r="N217">
        <f>VLOOKUP(B217,api!$A$2:$R$334,6,FALSE)</f>
        <v>7</v>
      </c>
      <c r="O217">
        <f>VLOOKUP(B217,api!$A$2:$R$334,7,FALSE)</f>
        <v>146</v>
      </c>
      <c r="P217">
        <f>VLOOKUP(A217,budget!$A$5:$I$337,6,FALSE)</f>
        <v>0</v>
      </c>
      <c r="Q217">
        <f>VLOOKUP(A217,budget!$A$5:$I$337,7,FALSE)</f>
        <v>0</v>
      </c>
      <c r="R217" t="str">
        <f>VLOOKUP(A217,budget!$A$5:$I$337,8,FALSE)</f>
        <v>상시 무료 관람 (식음료 및 개인소모품비 제외)</v>
      </c>
      <c r="S217" t="str">
        <f>VLOOKUP(A217,budget!$A$5:$I$337,9,FALSE)</f>
        <v>http://place.map.kakao.com/11205448</v>
      </c>
      <c r="T217">
        <f>VLOOKUP(B217,api!$A$2:$R$334,17,FALSE)</f>
        <v>127.880606343553</v>
      </c>
      <c r="U217">
        <f>VLOOKUP(B217,api!$A$2:$R$334,18,FALSE)</f>
        <v>37.679122426032698</v>
      </c>
    </row>
    <row r="218" spans="1:21" x14ac:dyDescent="0.3">
      <c r="A218">
        <v>18323826</v>
      </c>
      <c r="B218" t="s">
        <v>217</v>
      </c>
      <c r="C218" t="str">
        <f>VLOOKUP(A218,budget!$A$5:$I$337,3,FALSE)</f>
        <v>홍천은행나무숲</v>
      </c>
      <c r="D218" t="str">
        <f>VLOOKUP(B218,api!$A$2:$R$334,2,FALSE)</f>
        <v>홍천군</v>
      </c>
      <c r="E218" t="str">
        <f>VLOOKUP(B218,api!$A$2:$R$334,12,FALSE)</f>
        <v>강원특별자치도 홍천군 내면 광원리 686-4</v>
      </c>
      <c r="F218" t="s">
        <v>226</v>
      </c>
      <c r="G218" t="str">
        <f>VLOOKUP(A218,budget!$A$5:$I$337,4,FALSE)</f>
        <v>자연경관/자유관광지</v>
      </c>
      <c r="H218" t="s">
        <v>799</v>
      </c>
      <c r="I218" t="s">
        <v>800</v>
      </c>
      <c r="J218" t="str">
        <f>VLOOKUP(A218,budget!$A$5:$I$337,5,FALSE)</f>
        <v>상시 개방</v>
      </c>
      <c r="K218">
        <f>VLOOKUP(B218,api!$A$2:$R$334,14,FALSE)</f>
        <v>0</v>
      </c>
      <c r="L218" t="str">
        <f>VLOOKUP(B218,api!$A$2:$R$334,4,FALSE)</f>
        <v>https://www.hongcheon.go.kr/</v>
      </c>
      <c r="M218">
        <f>VLOOKUP(B218,api!$A$2:$R$334,5,FALSE)</f>
        <v>3.1</v>
      </c>
      <c r="N218">
        <f>VLOOKUP(B218,api!$A$2:$R$334,6,FALSE)</f>
        <v>48</v>
      </c>
      <c r="O218">
        <f>VLOOKUP(B218,api!$A$2:$R$334,7,FALSE)</f>
        <v>135</v>
      </c>
      <c r="P218">
        <f>VLOOKUP(A218,budget!$A$5:$I$337,6,FALSE)</f>
        <v>0</v>
      </c>
      <c r="Q218">
        <f>VLOOKUP(A218,budget!$A$5:$I$337,7,FALSE)</f>
        <v>0</v>
      </c>
      <c r="R218" t="str">
        <f>VLOOKUP(A218,budget!$A$5:$I$337,8,FALSE)</f>
        <v>상시 무료 관람 (식음료 및 개인소모품비 제외)</v>
      </c>
      <c r="S218" t="str">
        <f>VLOOKUP(A218,budget!$A$5:$I$337,9,FALSE)</f>
        <v>http://place.map.kakao.com/18323826</v>
      </c>
      <c r="T218">
        <f>VLOOKUP(B218,api!$A$2:$R$334,17,FALSE)</f>
        <v>128.47065480753</v>
      </c>
      <c r="U218">
        <f>VLOOKUP(B218,api!$A$2:$R$334,18,FALSE)</f>
        <v>37.832290819146301</v>
      </c>
    </row>
    <row r="219" spans="1:21" x14ac:dyDescent="0.3">
      <c r="A219">
        <v>15171645</v>
      </c>
      <c r="B219" t="s">
        <v>218</v>
      </c>
      <c r="C219" t="str">
        <f>VLOOKUP(A219,budget!$A$5:$I$337,3,FALSE)</f>
        <v>화암동굴</v>
      </c>
      <c r="D219" t="str">
        <f>VLOOKUP(B219,api!$A$2:$R$334,2,FALSE)</f>
        <v>정선군</v>
      </c>
      <c r="E219" t="str">
        <f>VLOOKUP(B219,api!$A$2:$R$334,12,FALSE)</f>
        <v>강원특별자치도 정선군 화암면 화암리 산 213-1</v>
      </c>
      <c r="F219" t="s">
        <v>225</v>
      </c>
      <c r="G219" t="str">
        <f>VLOOKUP(A219,budget!$A$5:$I$337,4,FALSE)</f>
        <v>문화/전람/동굴/전망시설</v>
      </c>
      <c r="J219" t="str">
        <f>VLOOKUP(A219,budget!$A$5:$I$337,5,FALSE)</f>
        <v>09:00 - 18:00 (매표마감 17:00)</v>
      </c>
      <c r="K219" t="str">
        <f>VLOOKUP(B219,api!$A$2:$R$334,14,FALSE)</f>
        <v>033-560-3415</v>
      </c>
      <c r="L219" t="str">
        <f>VLOOKUP(B219,api!$A$2:$R$334,4,FALSE)</f>
        <v>https://www.jeongseon.go.kr/tour</v>
      </c>
      <c r="M219">
        <f>VLOOKUP(B219,api!$A$2:$R$334,5,FALSE)</f>
        <v>4.4000000000000004</v>
      </c>
      <c r="N219">
        <f>VLOOKUP(B219,api!$A$2:$R$334,6,FALSE)</f>
        <v>97</v>
      </c>
      <c r="O219">
        <f>VLOOKUP(B219,api!$A$2:$R$334,7,FALSE)</f>
        <v>12</v>
      </c>
      <c r="P219">
        <f>VLOOKUP(A219,budget!$A$5:$I$337,6,FALSE)</f>
        <v>2000</v>
      </c>
      <c r="Q219">
        <f>VLOOKUP(A219,budget!$A$5:$I$337,7,FALSE)</f>
        <v>10000</v>
      </c>
      <c r="R219" t="str">
        <f>VLOOKUP(A219,budget!$A$5:$I$337,8,FALSE)</f>
        <v>대인 관람료 및 전망대/스카이워크 이용료 기준</v>
      </c>
      <c r="S219" t="str">
        <f>VLOOKUP(A219,budget!$A$5:$I$337,9,FALSE)</f>
        <v>http://place.map.kakao.com/15171645</v>
      </c>
      <c r="T219">
        <f>VLOOKUP(B219,api!$A$2:$R$334,17,FALSE)</f>
        <v>128.79418793090099</v>
      </c>
      <c r="U219">
        <f>VLOOKUP(B219,api!$A$2:$R$334,18,FALSE)</f>
        <v>37.349006596204099</v>
      </c>
    </row>
    <row r="220" spans="1:21" x14ac:dyDescent="0.3">
      <c r="A220">
        <v>25022695</v>
      </c>
      <c r="B220" t="s">
        <v>219</v>
      </c>
      <c r="C220" t="str">
        <f>VLOOKUP(A220,budget!$A$5:$I$337,3,FALSE)</f>
        <v>화천 딴산유원지</v>
      </c>
      <c r="D220" t="str">
        <f>VLOOKUP(B220,api!$A$2:$R$334,2,FALSE)</f>
        <v>화천군</v>
      </c>
      <c r="E220" t="str">
        <f>VLOOKUP(B220,api!$A$2:$R$334,12,FALSE)</f>
        <v>강원특별자치도 화천군 간동면 구만리 1313-3</v>
      </c>
      <c r="F220" t="s">
        <v>226</v>
      </c>
      <c r="G220" t="str">
        <f>VLOOKUP(A220,budget!$A$5:$I$337,4,FALSE)</f>
        <v>자연경관/자유관광지</v>
      </c>
      <c r="H220" t="s">
        <v>799</v>
      </c>
      <c r="I220" t="s">
        <v>800</v>
      </c>
      <c r="J220" t="str">
        <f>VLOOKUP(A220,budget!$A$5:$I$337,5,FALSE)</f>
        <v>24시간 연중무휴 (자유 방문)</v>
      </c>
      <c r="K220">
        <f>VLOOKUP(B220,api!$A$2:$R$334,14,FALSE)</f>
        <v>0</v>
      </c>
      <c r="L220">
        <f>VLOOKUP(B220,api!$A$2:$R$334,4,FALSE)</f>
        <v>0</v>
      </c>
      <c r="M220">
        <f>VLOOKUP(B220,api!$A$2:$R$334,5,FALSE)</f>
        <v>4.5</v>
      </c>
      <c r="N220">
        <f>VLOOKUP(B220,api!$A$2:$R$334,6,FALSE)</f>
        <v>4</v>
      </c>
      <c r="O220">
        <f>VLOOKUP(B220,api!$A$2:$R$334,7,FALSE)</f>
        <v>32</v>
      </c>
      <c r="P220">
        <f>VLOOKUP(A220,budget!$A$5:$I$337,6,FALSE)</f>
        <v>0</v>
      </c>
      <c r="Q220">
        <f>VLOOKUP(A220,budget!$A$5:$I$337,7,FALSE)</f>
        <v>0</v>
      </c>
      <c r="R220" t="str">
        <f>VLOOKUP(A220,budget!$A$5:$I$337,8,FALSE)</f>
        <v>상시 무료 관람 (식음료 및 개인소모품비 제외)</v>
      </c>
      <c r="S220" t="str">
        <f>VLOOKUP(A220,budget!$A$5:$I$337,9,FALSE)</f>
        <v>http://place.map.kakao.com/25022695</v>
      </c>
      <c r="T220">
        <f>VLOOKUP(B220,api!$A$2:$R$334,17,FALSE)</f>
        <v>127.762197729126</v>
      </c>
      <c r="U220">
        <f>VLOOKUP(B220,api!$A$2:$R$334,18,FALSE)</f>
        <v>38.124322883570997</v>
      </c>
    </row>
    <row r="221" spans="1:21" x14ac:dyDescent="0.3">
      <c r="A221">
        <v>10963875</v>
      </c>
      <c r="B221" t="s">
        <v>220</v>
      </c>
      <c r="C221" t="str">
        <f>VLOOKUP(A221,budget!$A$5:$I$337,3,FALSE)</f>
        <v>황지공원 황지연못</v>
      </c>
      <c r="D221" t="str">
        <f>VLOOKUP(B221,api!$A$2:$R$334,2,FALSE)</f>
        <v>태백시</v>
      </c>
      <c r="E221" t="str">
        <f>VLOOKUP(B221,api!$A$2:$R$334,12,FALSE)</f>
        <v>강원특별자치도 태백시 황지동 623</v>
      </c>
      <c r="F221" t="s">
        <v>226</v>
      </c>
      <c r="G221" t="str">
        <f>VLOOKUP(A221,budget!$A$5:$I$337,4,FALSE)</f>
        <v>자연경관/자유관광지</v>
      </c>
      <c r="J221" t="str">
        <f>VLOOKUP(A221,budget!$A$5:$I$337,5,FALSE)</f>
        <v>24시간 연중무휴 (자유 방문)</v>
      </c>
      <c r="K221">
        <f>VLOOKUP(B221,api!$A$2:$R$334,14,FALSE)</f>
        <v>0</v>
      </c>
      <c r="L221" t="str">
        <f>VLOOKUP(B221,api!$A$2:$R$334,4,FALSE)</f>
        <v>https://tour.taebaek.go.kr/tour</v>
      </c>
      <c r="M221">
        <f>VLOOKUP(B221,api!$A$2:$R$334,5,FALSE)</f>
        <v>4.2</v>
      </c>
      <c r="N221">
        <f>VLOOKUP(B221,api!$A$2:$R$334,6,FALSE)</f>
        <v>85</v>
      </c>
      <c r="O221">
        <f>VLOOKUP(B221,api!$A$2:$R$334,7,FALSE)</f>
        <v>133</v>
      </c>
      <c r="P221">
        <f>VLOOKUP(A221,budget!$A$5:$I$337,6,FALSE)</f>
        <v>0</v>
      </c>
      <c r="Q221">
        <f>VLOOKUP(A221,budget!$A$5:$I$337,7,FALSE)</f>
        <v>0</v>
      </c>
      <c r="R221" t="str">
        <f>VLOOKUP(A221,budget!$A$5:$I$337,8,FALSE)</f>
        <v>상시 무료 관람 (식음료 및 개인소모품비 제외)</v>
      </c>
      <c r="S221" t="str">
        <f>VLOOKUP(A221,budget!$A$5:$I$337,9,FALSE)</f>
        <v>http://place.map.kakao.com/10963875</v>
      </c>
      <c r="T221">
        <f>VLOOKUP(B221,api!$A$2:$R$334,17,FALSE)</f>
        <v>128.99105877437199</v>
      </c>
      <c r="U221">
        <f>VLOOKUP(B221,api!$A$2:$R$334,18,FALSE)</f>
        <v>37.172844097682201</v>
      </c>
    </row>
    <row r="222" spans="1:21" x14ac:dyDescent="0.3">
      <c r="A222">
        <v>367665442</v>
      </c>
      <c r="B222" t="s">
        <v>221</v>
      </c>
      <c r="C222" t="str">
        <f>VLOOKUP(A222,budget!$A$5:$I$337,3,FALSE)</f>
        <v>횡성루지체험장</v>
      </c>
      <c r="D222" t="str">
        <f>VLOOKUP(B222,api!$A$2:$R$334,2,FALSE)</f>
        <v>횡성군</v>
      </c>
      <c r="E222" t="str">
        <f>VLOOKUP(B222,api!$A$2:$R$334,12,FALSE)</f>
        <v>강원특별자치도 횡성군 우천면 오원리 308</v>
      </c>
      <c r="F222" t="s">
        <v>226</v>
      </c>
      <c r="G222" t="str">
        <f>VLOOKUP(A222,budget!$A$5:$I$337,4,FALSE)</f>
        <v>체험/액티비티</v>
      </c>
      <c r="H222" t="s">
        <v>799</v>
      </c>
      <c r="I222" t="s">
        <v>800</v>
      </c>
      <c r="J222" t="str">
        <f>VLOOKUP(A222,budget!$A$5:$I$337,5,FALSE)</f>
        <v>10:00 - 18:00 (동절기/우천 시 변동)</v>
      </c>
      <c r="K222" t="str">
        <f>VLOOKUP(B222,api!$A$2:$R$334,14,FALSE)</f>
        <v>033-342-5503</v>
      </c>
      <c r="L222" t="str">
        <f>VLOOKUP(B222,api!$A$2:$R$334,4,FALSE)</f>
        <v>http://luge.hsg.go.kr/kor/main/index.html</v>
      </c>
      <c r="M222">
        <f>VLOOKUP(B222,api!$A$2:$R$334,5,FALSE)</f>
        <v>4.5</v>
      </c>
      <c r="N222">
        <f>VLOOKUP(B222,api!$A$2:$R$334,6,FALSE)</f>
        <v>73</v>
      </c>
      <c r="O222">
        <f>VLOOKUP(B222,api!$A$2:$R$334,7,FALSE)</f>
        <v>304</v>
      </c>
      <c r="P222">
        <f>VLOOKUP(A222,budget!$A$5:$I$337,6,FALSE)</f>
        <v>10000</v>
      </c>
      <c r="Q222">
        <f>VLOOKUP(A222,budget!$A$5:$I$337,7,FALSE)</f>
        <v>35000</v>
      </c>
      <c r="R222" t="str">
        <f>VLOOKUP(A222,budget!$A$5:$I$337,8,FALSE)</f>
        <v>1인 승선/체험권 기준 (코스 및 이용 상품에 따라 변동)</v>
      </c>
      <c r="S222" t="str">
        <f>VLOOKUP(A222,budget!$A$5:$I$337,9,FALSE)</f>
        <v>http://place.map.kakao.com/367665442</v>
      </c>
      <c r="T222">
        <f>VLOOKUP(B222,api!$A$2:$R$334,17,FALSE)</f>
        <v>128.108700260543</v>
      </c>
      <c r="U222">
        <f>VLOOKUP(B222,api!$A$2:$R$334,18,FALSE)</f>
        <v>37.428371253725103</v>
      </c>
    </row>
    <row r="223" spans="1:21" x14ac:dyDescent="0.3">
      <c r="A223">
        <v>1376671961</v>
      </c>
      <c r="B223" t="s">
        <v>222</v>
      </c>
      <c r="C223" t="str">
        <f>VLOOKUP(A223,budget!$A$5:$I$337,3,FALSE)</f>
        <v>횡성한우체험관</v>
      </c>
      <c r="D223" t="str">
        <f>VLOOKUP(B223,api!$A$2:$R$334,2,FALSE)</f>
        <v>횡성군</v>
      </c>
      <c r="E223" t="str">
        <f>VLOOKUP(B223,api!$A$2:$R$334,12,FALSE)</f>
        <v>강원특별자치도 횡성군 횡성읍 읍하리 283</v>
      </c>
      <c r="F223" t="s">
        <v>225</v>
      </c>
      <c r="G223" t="str">
        <f>VLOOKUP(A223,budget!$A$5:$I$337,4,FALSE)</f>
        <v>자연경관/자유관광지</v>
      </c>
      <c r="J223" t="str">
        <f>VLOOKUP(A223,budget!$A$5:$I$337,5,FALSE)</f>
        <v>상시 개방</v>
      </c>
      <c r="K223" t="str">
        <f>VLOOKUP(B223,api!$A$2:$R$334,14,FALSE)</f>
        <v>033-340-5885</v>
      </c>
      <c r="L223" t="str">
        <f>VLOOKUP(B223,api!$A$2:$R$334,4,FALSE)</f>
        <v>https://www.hsg.go.kr/hshanwoo/index.do</v>
      </c>
      <c r="M223">
        <f>VLOOKUP(B223,api!$A$2:$R$334,5,FALSE)</f>
        <v>4.5</v>
      </c>
      <c r="N223">
        <f>VLOOKUP(B223,api!$A$2:$R$334,6,FALSE)</f>
        <v>4</v>
      </c>
      <c r="O223">
        <f>VLOOKUP(B223,api!$A$2:$R$334,7,FALSE)</f>
        <v>117</v>
      </c>
      <c r="P223">
        <f>VLOOKUP(A223,budget!$A$5:$I$337,6,FALSE)</f>
        <v>0</v>
      </c>
      <c r="Q223">
        <f>VLOOKUP(A223,budget!$A$5:$I$337,7,FALSE)</f>
        <v>0</v>
      </c>
      <c r="R223" t="str">
        <f>VLOOKUP(A223,budget!$A$5:$I$337,8,FALSE)</f>
        <v>상시 무료 관람 (식음료 및 개인소모품비 제외)</v>
      </c>
      <c r="S223" t="str">
        <f>VLOOKUP(A223,budget!$A$5:$I$337,9,FALSE)</f>
        <v>http://place.map.kakao.com/1376671961</v>
      </c>
      <c r="T223">
        <f>VLOOKUP(B223,api!$A$2:$R$334,17,FALSE)</f>
        <v>127.978000310303</v>
      </c>
      <c r="U223">
        <f>VLOOKUP(B223,api!$A$2:$R$334,18,FALSE)</f>
        <v>37.491858202264098</v>
      </c>
    </row>
    <row r="224" spans="1:21" x14ac:dyDescent="0.3">
      <c r="A224">
        <v>10957333</v>
      </c>
      <c r="B224" t="s">
        <v>223</v>
      </c>
      <c r="C224" t="str">
        <f>VLOOKUP(A224,budget!$A$5:$I$337,3,FALSE)</f>
        <v>효석문화마을</v>
      </c>
      <c r="D224" t="str">
        <f>VLOOKUP(B224,api!$A$2:$R$334,2,FALSE)</f>
        <v>평창군</v>
      </c>
      <c r="E224" t="str">
        <f>VLOOKUP(B224,api!$A$2:$R$334,12,FALSE)</f>
        <v>강원특별자치도 평창군 봉평면 원길리 262-6</v>
      </c>
      <c r="F224" t="s">
        <v>226</v>
      </c>
      <c r="G224" t="str">
        <f>VLOOKUP(A224,budget!$A$5:$I$337,4,FALSE)</f>
        <v>자연경관/자유관광지</v>
      </c>
      <c r="J224" t="str">
        <f>VLOOKUP(A224,budget!$A$5:$I$337,5,FALSE)</f>
        <v>상시 개방</v>
      </c>
      <c r="K224">
        <f>VLOOKUP(B224,api!$A$2:$R$334,14,FALSE)</f>
        <v>0</v>
      </c>
      <c r="L224" t="str">
        <f>VLOOKUP(B224,api!$A$2:$R$334,4,FALSE)</f>
        <v>https://tour.pc.go.kr/Home/index</v>
      </c>
      <c r="M224">
        <f>VLOOKUP(B224,api!$A$2:$R$334,5,FALSE)</f>
        <v>4.2</v>
      </c>
      <c r="N224">
        <f>VLOOKUP(B224,api!$A$2:$R$334,6,FALSE)</f>
        <v>14</v>
      </c>
      <c r="O224">
        <f>VLOOKUP(B224,api!$A$2:$R$334,7,FALSE)</f>
        <v>71</v>
      </c>
      <c r="P224">
        <f>VLOOKUP(A224,budget!$A$5:$I$337,6,FALSE)</f>
        <v>0</v>
      </c>
      <c r="Q224">
        <f>VLOOKUP(A224,budget!$A$5:$I$337,7,FALSE)</f>
        <v>0</v>
      </c>
      <c r="R224" t="str">
        <f>VLOOKUP(A224,budget!$A$5:$I$337,8,FALSE)</f>
        <v>상시 무료 관람 (식음료 및 개인소모품비 제외)</v>
      </c>
      <c r="S224" t="str">
        <f>VLOOKUP(A224,budget!$A$5:$I$337,9,FALSE)</f>
        <v>http://place.map.kakao.com/10957333</v>
      </c>
      <c r="T224">
        <f>VLOOKUP(B224,api!$A$2:$R$334,17,FALSE)</f>
        <v>128.37214015677401</v>
      </c>
      <c r="U224">
        <f>VLOOKUP(B224,api!$A$2:$R$334,18,FALSE)</f>
        <v>37.6144840785771</v>
      </c>
    </row>
    <row r="225" spans="1:21" x14ac:dyDescent="0.3">
      <c r="A225">
        <v>8180160</v>
      </c>
      <c r="B225" t="s">
        <v>224</v>
      </c>
      <c r="C225" t="str">
        <f>VLOOKUP(A225,budget!$A$5:$I$337,3,FALSE)</f>
        <v>휴휴암</v>
      </c>
      <c r="D225" t="str">
        <f>VLOOKUP(B225,api!$A$2:$R$334,2,FALSE)</f>
        <v>양양군</v>
      </c>
      <c r="E225" t="str">
        <f>VLOOKUP(B225,api!$A$2:$R$334,12,FALSE)</f>
        <v>강원특별자치도 양양군 현남면 광진리 1</v>
      </c>
      <c r="F225" t="s">
        <v>226</v>
      </c>
      <c r="G225" t="str">
        <f>VLOOKUP(A225,budget!$A$5:$I$337,4,FALSE)</f>
        <v>자연경관/자유관광지</v>
      </c>
      <c r="J225" t="str">
        <f>VLOOKUP(A225,budget!$A$5:$I$337,5,FALSE)</f>
        <v>05:00 - 18:00 (일몰 시까지)</v>
      </c>
      <c r="K225" t="str">
        <f>VLOOKUP(B225,api!$A$2:$R$334,14,FALSE)</f>
        <v>033-671-0093</v>
      </c>
      <c r="L225" t="str">
        <f>VLOOKUP(B225,api!$A$2:$R$334,4,FALSE)</f>
        <v>http://huhuam.org/</v>
      </c>
      <c r="M225">
        <f>VLOOKUP(B225,api!$A$2:$R$334,5,FALSE)</f>
        <v>4.2</v>
      </c>
      <c r="N225">
        <f>VLOOKUP(B225,api!$A$2:$R$334,6,FALSE)</f>
        <v>174</v>
      </c>
      <c r="O225">
        <f>VLOOKUP(B225,api!$A$2:$R$334,7,FALSE)</f>
        <v>684</v>
      </c>
      <c r="P225">
        <f>VLOOKUP(A225,budget!$A$5:$I$337,6,FALSE)</f>
        <v>0</v>
      </c>
      <c r="Q225">
        <f>VLOOKUP(A225,budget!$A$5:$I$337,7,FALSE)</f>
        <v>0</v>
      </c>
      <c r="R225" t="str">
        <f>VLOOKUP(A225,budget!$A$5:$I$337,8,FALSE)</f>
        <v>상시 무료 관람 (식음료 및 개인소모품비 제외)</v>
      </c>
      <c r="S225" t="str">
        <f>VLOOKUP(A225,budget!$A$5:$I$337,9,FALSE)</f>
        <v>http://place.map.kakao.com/8180160</v>
      </c>
      <c r="T225">
        <f>VLOOKUP(B225,api!$A$2:$R$334,17,FALSE)</f>
        <v>128.76764971202201</v>
      </c>
      <c r="U225">
        <f>VLOOKUP(B225,api!$A$2:$R$334,18,FALSE)</f>
        <v>37.961221229606601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7"/>
  <sheetViews>
    <sheetView topLeftCell="C1" workbookViewId="0">
      <pane ySplit="4" topLeftCell="A284" activePane="bottomLeft" state="frozen"/>
      <selection pane="bottomLeft" activeCell="F301" sqref="F301"/>
    </sheetView>
  </sheetViews>
  <sheetFormatPr defaultRowHeight="16.5" x14ac:dyDescent="0.3"/>
  <cols>
    <col min="1" max="1" width="35" customWidth="1"/>
    <col min="2" max="3" width="28" customWidth="1"/>
    <col min="4" max="4" width="20" customWidth="1"/>
    <col min="5" max="5" width="35" customWidth="1"/>
    <col min="6" max="7" width="18" customWidth="1"/>
    <col min="8" max="8" width="42" customWidth="1"/>
    <col min="9" max="9" width="40" customWidth="1"/>
  </cols>
  <sheetData>
    <row r="1" spans="1:9" ht="39.950000000000003" customHeight="1" x14ac:dyDescent="0.3">
      <c r="B1" s="15" t="s">
        <v>227</v>
      </c>
      <c r="C1" s="16"/>
      <c r="D1" s="16"/>
      <c r="E1" s="16"/>
      <c r="F1" s="16"/>
      <c r="G1" s="16"/>
      <c r="H1" s="16"/>
      <c r="I1" s="16"/>
    </row>
    <row r="2" spans="1:9" ht="20.100000000000001" customHeight="1" x14ac:dyDescent="0.3">
      <c r="B2" s="17" t="s">
        <v>228</v>
      </c>
      <c r="C2" s="16"/>
      <c r="D2" s="16"/>
      <c r="E2" s="16"/>
      <c r="F2" s="16"/>
      <c r="G2" s="16"/>
      <c r="H2" s="16"/>
      <c r="I2" s="16"/>
    </row>
    <row r="4" spans="1:9" ht="27.95" customHeight="1" x14ac:dyDescent="0.3">
      <c r="B4" s="1" t="s">
        <v>229</v>
      </c>
      <c r="C4" s="1" t="s">
        <v>230</v>
      </c>
      <c r="D4" s="1" t="s">
        <v>231</v>
      </c>
      <c r="E4" s="1" t="s">
        <v>232</v>
      </c>
      <c r="F4" s="1" t="s">
        <v>233</v>
      </c>
      <c r="G4" s="1" t="s">
        <v>234</v>
      </c>
      <c r="H4" s="1" t="s">
        <v>235</v>
      </c>
      <c r="I4" s="1" t="s">
        <v>236</v>
      </c>
    </row>
    <row r="5" spans="1:9" ht="21.95" customHeight="1" x14ac:dyDescent="0.3">
      <c r="A5">
        <v>581024580</v>
      </c>
      <c r="B5" s="2" t="s">
        <v>0</v>
      </c>
      <c r="C5" s="2" t="s">
        <v>237</v>
      </c>
      <c r="D5" s="2" t="s">
        <v>238</v>
      </c>
      <c r="E5" s="3" t="s">
        <v>239</v>
      </c>
      <c r="F5" s="4">
        <v>0</v>
      </c>
      <c r="G5" s="4">
        <v>3000</v>
      </c>
      <c r="H5" s="2" t="s">
        <v>240</v>
      </c>
      <c r="I5" s="5" t="s">
        <v>241</v>
      </c>
    </row>
    <row r="6" spans="1:9" ht="21.95" customHeight="1" x14ac:dyDescent="0.3">
      <c r="A6">
        <v>25045748</v>
      </c>
      <c r="B6" s="6" t="s">
        <v>1</v>
      </c>
      <c r="C6" s="6" t="s">
        <v>1</v>
      </c>
      <c r="D6" s="6" t="s">
        <v>242</v>
      </c>
      <c r="E6" s="7" t="s">
        <v>239</v>
      </c>
      <c r="F6" s="8">
        <v>8000</v>
      </c>
      <c r="G6" s="8">
        <v>20000</v>
      </c>
      <c r="H6" s="6" t="s">
        <v>243</v>
      </c>
      <c r="I6" s="9" t="s">
        <v>244</v>
      </c>
    </row>
    <row r="7" spans="1:9" ht="21.95" customHeight="1" x14ac:dyDescent="0.3">
      <c r="A7">
        <v>1310990190</v>
      </c>
      <c r="B7" s="2" t="s">
        <v>2</v>
      </c>
      <c r="C7" s="2" t="s">
        <v>245</v>
      </c>
      <c r="D7" s="2" t="s">
        <v>246</v>
      </c>
      <c r="E7" s="3" t="s">
        <v>247</v>
      </c>
      <c r="F7" s="4">
        <v>0</v>
      </c>
      <c r="G7" s="4">
        <v>0</v>
      </c>
      <c r="H7" s="2" t="s">
        <v>248</v>
      </c>
      <c r="I7" s="5" t="s">
        <v>249</v>
      </c>
    </row>
    <row r="8" spans="1:9" ht="21.95" customHeight="1" x14ac:dyDescent="0.3">
      <c r="A8">
        <v>23794385</v>
      </c>
      <c r="B8" s="6" t="s">
        <v>3</v>
      </c>
      <c r="C8" s="6" t="s">
        <v>3</v>
      </c>
      <c r="D8" s="6" t="s">
        <v>250</v>
      </c>
      <c r="E8" s="7" t="s">
        <v>251</v>
      </c>
      <c r="F8" s="8">
        <v>2000</v>
      </c>
      <c r="G8" s="8">
        <v>10000</v>
      </c>
      <c r="H8" s="6" t="s">
        <v>252</v>
      </c>
      <c r="I8" s="9" t="s">
        <v>253</v>
      </c>
    </row>
    <row r="9" spans="1:9" ht="21.95" customHeight="1" x14ac:dyDescent="0.3">
      <c r="A9">
        <v>1389012423</v>
      </c>
      <c r="B9" s="2" t="s">
        <v>4</v>
      </c>
      <c r="C9" s="2" t="s">
        <v>254</v>
      </c>
      <c r="D9" s="2" t="s">
        <v>246</v>
      </c>
      <c r="E9" s="3" t="s">
        <v>255</v>
      </c>
      <c r="F9" s="4">
        <v>0</v>
      </c>
      <c r="G9" s="4">
        <v>0</v>
      </c>
      <c r="H9" s="2" t="s">
        <v>248</v>
      </c>
      <c r="I9" s="5" t="s">
        <v>256</v>
      </c>
    </row>
    <row r="10" spans="1:9" ht="21.95" customHeight="1" x14ac:dyDescent="0.3">
      <c r="A10">
        <v>26847659</v>
      </c>
      <c r="B10" s="6" t="s">
        <v>257</v>
      </c>
      <c r="C10" s="6" t="s">
        <v>257</v>
      </c>
      <c r="D10" s="6" t="s">
        <v>246</v>
      </c>
      <c r="E10" s="7" t="s">
        <v>255</v>
      </c>
      <c r="F10" s="8">
        <v>0</v>
      </c>
      <c r="G10" s="8">
        <v>0</v>
      </c>
      <c r="H10" s="6" t="s">
        <v>248</v>
      </c>
      <c r="I10" s="9" t="s">
        <v>258</v>
      </c>
    </row>
    <row r="11" spans="1:9" ht="21.95" customHeight="1" x14ac:dyDescent="0.3">
      <c r="A11">
        <v>8121115</v>
      </c>
      <c r="B11" s="2" t="s">
        <v>5</v>
      </c>
      <c r="C11" s="2" t="s">
        <v>5</v>
      </c>
      <c r="D11" s="2" t="s">
        <v>246</v>
      </c>
      <c r="E11" s="3" t="s">
        <v>255</v>
      </c>
      <c r="F11" s="4">
        <v>0</v>
      </c>
      <c r="G11" s="4">
        <v>0</v>
      </c>
      <c r="H11" s="2" t="s">
        <v>248</v>
      </c>
      <c r="I11" s="5" t="s">
        <v>259</v>
      </c>
    </row>
    <row r="12" spans="1:9" ht="21.95" customHeight="1" x14ac:dyDescent="0.3">
      <c r="A12">
        <v>26916317</v>
      </c>
      <c r="B12" s="6" t="s">
        <v>6</v>
      </c>
      <c r="C12" s="6" t="s">
        <v>6</v>
      </c>
      <c r="D12" s="6" t="s">
        <v>246</v>
      </c>
      <c r="E12" s="7" t="s">
        <v>255</v>
      </c>
      <c r="F12" s="8">
        <v>0</v>
      </c>
      <c r="G12" s="8">
        <v>0</v>
      </c>
      <c r="H12" s="6" t="s">
        <v>248</v>
      </c>
      <c r="I12" s="9" t="s">
        <v>260</v>
      </c>
    </row>
    <row r="13" spans="1:9" ht="21.95" customHeight="1" x14ac:dyDescent="0.3">
      <c r="A13">
        <v>8667927</v>
      </c>
      <c r="B13" s="2" t="s">
        <v>261</v>
      </c>
      <c r="C13" s="2" t="s">
        <v>261</v>
      </c>
      <c r="D13" s="2" t="s">
        <v>246</v>
      </c>
      <c r="E13" s="3" t="s">
        <v>247</v>
      </c>
      <c r="F13" s="4">
        <v>0</v>
      </c>
      <c r="G13" s="4">
        <v>0</v>
      </c>
      <c r="H13" s="2" t="s">
        <v>248</v>
      </c>
      <c r="I13" s="5" t="s">
        <v>262</v>
      </c>
    </row>
    <row r="14" spans="1:9" ht="21.95" customHeight="1" x14ac:dyDescent="0.3">
      <c r="A14">
        <v>8133638</v>
      </c>
      <c r="B14" s="6" t="s">
        <v>263</v>
      </c>
      <c r="C14" s="6" t="s">
        <v>263</v>
      </c>
      <c r="D14" s="6" t="s">
        <v>246</v>
      </c>
      <c r="E14" s="7" t="s">
        <v>255</v>
      </c>
      <c r="F14" s="8">
        <v>0</v>
      </c>
      <c r="G14" s="8">
        <v>0</v>
      </c>
      <c r="H14" s="6" t="s">
        <v>248</v>
      </c>
      <c r="I14" s="9" t="s">
        <v>264</v>
      </c>
    </row>
    <row r="15" spans="1:9" ht="21.95" customHeight="1" x14ac:dyDescent="0.3">
      <c r="A15">
        <v>26979861</v>
      </c>
      <c r="B15" s="2" t="s">
        <v>7</v>
      </c>
      <c r="C15" s="2" t="s">
        <v>7</v>
      </c>
      <c r="D15" s="2" t="s">
        <v>246</v>
      </c>
      <c r="E15" s="3" t="s">
        <v>247</v>
      </c>
      <c r="F15" s="4">
        <v>0</v>
      </c>
      <c r="G15" s="4">
        <v>0</v>
      </c>
      <c r="H15" s="2" t="s">
        <v>248</v>
      </c>
      <c r="I15" s="5" t="s">
        <v>265</v>
      </c>
    </row>
    <row r="16" spans="1:9" ht="21.95" customHeight="1" x14ac:dyDescent="0.3">
      <c r="A16">
        <v>25856200</v>
      </c>
      <c r="B16" s="6" t="s">
        <v>8</v>
      </c>
      <c r="C16" s="6" t="s">
        <v>8</v>
      </c>
      <c r="D16" s="6" t="s">
        <v>266</v>
      </c>
      <c r="E16" s="7" t="s">
        <v>267</v>
      </c>
      <c r="F16" s="8">
        <v>1000</v>
      </c>
      <c r="G16" s="8">
        <v>5000</v>
      </c>
      <c r="H16" s="6" t="s">
        <v>268</v>
      </c>
      <c r="I16" s="9" t="s">
        <v>269</v>
      </c>
    </row>
    <row r="17" spans="1:9" ht="21.95" customHeight="1" x14ac:dyDescent="0.3">
      <c r="A17">
        <v>7960891</v>
      </c>
      <c r="B17" s="2" t="s">
        <v>9</v>
      </c>
      <c r="C17" s="2" t="s">
        <v>270</v>
      </c>
      <c r="D17" s="2" t="s">
        <v>246</v>
      </c>
      <c r="E17" s="3" t="s">
        <v>255</v>
      </c>
      <c r="F17" s="4">
        <v>0</v>
      </c>
      <c r="G17" s="4">
        <v>0</v>
      </c>
      <c r="H17" s="2" t="s">
        <v>248</v>
      </c>
      <c r="I17" s="5" t="s">
        <v>271</v>
      </c>
    </row>
    <row r="18" spans="1:9" ht="21.95" customHeight="1" x14ac:dyDescent="0.3">
      <c r="A18">
        <v>937891746</v>
      </c>
      <c r="B18" s="6" t="s">
        <v>10</v>
      </c>
      <c r="C18" s="6" t="s">
        <v>10</v>
      </c>
      <c r="D18" s="6" t="s">
        <v>246</v>
      </c>
      <c r="E18" s="7" t="s">
        <v>247</v>
      </c>
      <c r="F18" s="8">
        <v>0</v>
      </c>
      <c r="G18" s="8">
        <v>0</v>
      </c>
      <c r="H18" s="6" t="s">
        <v>248</v>
      </c>
      <c r="I18" s="9" t="s">
        <v>272</v>
      </c>
    </row>
    <row r="19" spans="1:9" ht="21.95" customHeight="1" x14ac:dyDescent="0.3">
      <c r="A19">
        <v>2058461010</v>
      </c>
      <c r="B19" s="2" t="s">
        <v>11</v>
      </c>
      <c r="C19" s="2" t="s">
        <v>11</v>
      </c>
      <c r="D19" s="2" t="s">
        <v>246</v>
      </c>
      <c r="E19" s="3" t="s">
        <v>255</v>
      </c>
      <c r="F19" s="4">
        <v>0</v>
      </c>
      <c r="G19" s="4">
        <v>0</v>
      </c>
      <c r="H19" s="2" t="s">
        <v>248</v>
      </c>
      <c r="I19" s="5" t="s">
        <v>273</v>
      </c>
    </row>
    <row r="20" spans="1:9" ht="21.95" customHeight="1" x14ac:dyDescent="0.3">
      <c r="A20">
        <v>18525909</v>
      </c>
      <c r="B20" s="6" t="s">
        <v>12</v>
      </c>
      <c r="C20" s="6" t="s">
        <v>12</v>
      </c>
      <c r="D20" s="6" t="s">
        <v>246</v>
      </c>
      <c r="E20" s="7" t="s">
        <v>255</v>
      </c>
      <c r="F20" s="8">
        <v>0</v>
      </c>
      <c r="G20" s="8">
        <v>0</v>
      </c>
      <c r="H20" s="6" t="s">
        <v>248</v>
      </c>
      <c r="I20" s="9" t="s">
        <v>274</v>
      </c>
    </row>
    <row r="21" spans="1:9" ht="21.95" customHeight="1" x14ac:dyDescent="0.3">
      <c r="A21">
        <v>14862993</v>
      </c>
      <c r="B21" s="2" t="s">
        <v>13</v>
      </c>
      <c r="C21" s="2" t="s">
        <v>13</v>
      </c>
      <c r="D21" s="2" t="s">
        <v>246</v>
      </c>
      <c r="E21" s="3" t="s">
        <v>255</v>
      </c>
      <c r="F21" s="4">
        <v>0</v>
      </c>
      <c r="G21" s="4">
        <v>0</v>
      </c>
      <c r="H21" s="2" t="s">
        <v>248</v>
      </c>
      <c r="I21" s="5" t="s">
        <v>275</v>
      </c>
    </row>
    <row r="22" spans="1:9" ht="21.95" customHeight="1" x14ac:dyDescent="0.3">
      <c r="A22">
        <v>714254383</v>
      </c>
      <c r="B22" s="6" t="s">
        <v>14</v>
      </c>
      <c r="C22" s="6" t="s">
        <v>14</v>
      </c>
      <c r="D22" s="6" t="s">
        <v>246</v>
      </c>
      <c r="E22" s="7" t="s">
        <v>255</v>
      </c>
      <c r="F22" s="8">
        <v>0</v>
      </c>
      <c r="G22" s="8">
        <v>0</v>
      </c>
      <c r="H22" s="6" t="s">
        <v>248</v>
      </c>
      <c r="I22" s="9" t="s">
        <v>276</v>
      </c>
    </row>
    <row r="23" spans="1:9" ht="21.95" customHeight="1" x14ac:dyDescent="0.3">
      <c r="A23">
        <v>8171435</v>
      </c>
      <c r="B23" s="2" t="s">
        <v>15</v>
      </c>
      <c r="C23" s="2" t="s">
        <v>277</v>
      </c>
      <c r="D23" s="2" t="s">
        <v>246</v>
      </c>
      <c r="E23" s="3" t="s">
        <v>247</v>
      </c>
      <c r="F23" s="4">
        <v>0</v>
      </c>
      <c r="G23" s="4">
        <v>0</v>
      </c>
      <c r="H23" s="2" t="s">
        <v>248</v>
      </c>
      <c r="I23" s="5" t="s">
        <v>278</v>
      </c>
    </row>
    <row r="24" spans="1:9" ht="21.95" customHeight="1" x14ac:dyDescent="0.3">
      <c r="A24">
        <v>11046971</v>
      </c>
      <c r="B24" s="6" t="s">
        <v>16</v>
      </c>
      <c r="C24" s="6" t="s">
        <v>279</v>
      </c>
      <c r="D24" s="6" t="s">
        <v>246</v>
      </c>
      <c r="E24" s="7" t="s">
        <v>247</v>
      </c>
      <c r="F24" s="8">
        <v>0</v>
      </c>
      <c r="G24" s="8">
        <v>0</v>
      </c>
      <c r="H24" s="6" t="s">
        <v>248</v>
      </c>
      <c r="I24" s="9" t="s">
        <v>280</v>
      </c>
    </row>
    <row r="25" spans="1:9" ht="21.95" customHeight="1" x14ac:dyDescent="0.3">
      <c r="A25">
        <v>13109251</v>
      </c>
      <c r="B25" s="2" t="s">
        <v>281</v>
      </c>
      <c r="C25" s="2" t="s">
        <v>282</v>
      </c>
      <c r="D25" s="2" t="s">
        <v>246</v>
      </c>
      <c r="E25" s="3" t="s">
        <v>255</v>
      </c>
      <c r="F25" s="4">
        <v>0</v>
      </c>
      <c r="G25" s="4">
        <v>0</v>
      </c>
      <c r="H25" s="2" t="s">
        <v>248</v>
      </c>
      <c r="I25" s="5" t="s">
        <v>283</v>
      </c>
    </row>
    <row r="26" spans="1:9" ht="21.95" customHeight="1" x14ac:dyDescent="0.3">
      <c r="A26">
        <v>9675634</v>
      </c>
      <c r="B26" s="6" t="s">
        <v>17</v>
      </c>
      <c r="C26" s="6" t="s">
        <v>17</v>
      </c>
      <c r="D26" s="6" t="s">
        <v>250</v>
      </c>
      <c r="E26" s="7" t="s">
        <v>251</v>
      </c>
      <c r="F26" s="8">
        <v>2000</v>
      </c>
      <c r="G26" s="8">
        <v>10000</v>
      </c>
      <c r="H26" s="6" t="s">
        <v>252</v>
      </c>
      <c r="I26" s="9" t="s">
        <v>284</v>
      </c>
    </row>
    <row r="27" spans="1:9" ht="21.95" customHeight="1" x14ac:dyDescent="0.3">
      <c r="A27">
        <v>26388997</v>
      </c>
      <c r="B27" s="2" t="s">
        <v>18</v>
      </c>
      <c r="C27" s="2" t="s">
        <v>18</v>
      </c>
      <c r="D27" s="2" t="s">
        <v>285</v>
      </c>
      <c r="E27" s="3" t="s">
        <v>286</v>
      </c>
      <c r="F27" s="4">
        <v>10000</v>
      </c>
      <c r="G27" s="4">
        <v>35000</v>
      </c>
      <c r="H27" s="2" t="s">
        <v>287</v>
      </c>
      <c r="I27" s="5" t="s">
        <v>288</v>
      </c>
    </row>
    <row r="28" spans="1:9" ht="21.95" customHeight="1" x14ac:dyDescent="0.3">
      <c r="A28">
        <v>18711877</v>
      </c>
      <c r="B28" s="6" t="s">
        <v>19</v>
      </c>
      <c r="C28" s="6" t="s">
        <v>19</v>
      </c>
      <c r="D28" s="6" t="s">
        <v>285</v>
      </c>
      <c r="E28" s="7" t="s">
        <v>286</v>
      </c>
      <c r="F28" s="8">
        <v>10000</v>
      </c>
      <c r="G28" s="8">
        <v>35000</v>
      </c>
      <c r="H28" s="6" t="s">
        <v>287</v>
      </c>
      <c r="I28" s="9" t="s">
        <v>289</v>
      </c>
    </row>
    <row r="29" spans="1:9" ht="21.95" customHeight="1" x14ac:dyDescent="0.3">
      <c r="A29">
        <v>23690312</v>
      </c>
      <c r="B29" s="2" t="s">
        <v>290</v>
      </c>
      <c r="C29" s="2" t="s">
        <v>290</v>
      </c>
      <c r="D29" s="2" t="s">
        <v>246</v>
      </c>
      <c r="E29" s="3" t="s">
        <v>291</v>
      </c>
      <c r="F29" s="4">
        <v>0</v>
      </c>
      <c r="G29" s="4">
        <v>0</v>
      </c>
      <c r="H29" s="2" t="s">
        <v>248</v>
      </c>
      <c r="I29" s="5" t="s">
        <v>292</v>
      </c>
    </row>
    <row r="30" spans="1:9" ht="21.95" customHeight="1" x14ac:dyDescent="0.3">
      <c r="A30">
        <v>8171586</v>
      </c>
      <c r="B30" s="6" t="s">
        <v>20</v>
      </c>
      <c r="C30" s="6" t="s">
        <v>20</v>
      </c>
      <c r="D30" s="6" t="s">
        <v>246</v>
      </c>
      <c r="E30" s="7" t="s">
        <v>255</v>
      </c>
      <c r="F30" s="8">
        <v>0</v>
      </c>
      <c r="G30" s="8">
        <v>0</v>
      </c>
      <c r="H30" s="6" t="s">
        <v>248</v>
      </c>
      <c r="I30" s="9" t="s">
        <v>293</v>
      </c>
    </row>
    <row r="31" spans="1:9" ht="21.95" customHeight="1" x14ac:dyDescent="0.3">
      <c r="A31">
        <v>910019105</v>
      </c>
      <c r="B31" s="2" t="s">
        <v>21</v>
      </c>
      <c r="C31" s="2" t="s">
        <v>21</v>
      </c>
      <c r="D31" s="2" t="s">
        <v>246</v>
      </c>
      <c r="E31" s="3" t="s">
        <v>255</v>
      </c>
      <c r="F31" s="4">
        <v>0</v>
      </c>
      <c r="G31" s="4">
        <v>0</v>
      </c>
      <c r="H31" s="2" t="s">
        <v>248</v>
      </c>
      <c r="I31" s="5" t="s">
        <v>294</v>
      </c>
    </row>
    <row r="32" spans="1:9" ht="21.95" customHeight="1" x14ac:dyDescent="0.3">
      <c r="A32">
        <v>8199114</v>
      </c>
      <c r="B32" s="6" t="s">
        <v>22</v>
      </c>
      <c r="C32" s="6" t="s">
        <v>22</v>
      </c>
      <c r="D32" s="6" t="s">
        <v>246</v>
      </c>
      <c r="E32" s="7" t="s">
        <v>255</v>
      </c>
      <c r="F32" s="8">
        <v>0</v>
      </c>
      <c r="G32" s="8">
        <v>0</v>
      </c>
      <c r="H32" s="6" t="s">
        <v>248</v>
      </c>
      <c r="I32" s="9" t="s">
        <v>295</v>
      </c>
    </row>
    <row r="33" spans="1:9" ht="21.95" customHeight="1" x14ac:dyDescent="0.3">
      <c r="A33">
        <v>12296544</v>
      </c>
      <c r="B33" s="2" t="s">
        <v>23</v>
      </c>
      <c r="C33" s="2" t="s">
        <v>296</v>
      </c>
      <c r="D33" s="2" t="s">
        <v>297</v>
      </c>
      <c r="E33" s="3" t="s">
        <v>298</v>
      </c>
      <c r="F33" s="4">
        <v>0</v>
      </c>
      <c r="G33" s="4">
        <v>0</v>
      </c>
      <c r="H33" s="2" t="s">
        <v>299</v>
      </c>
      <c r="I33" s="5" t="s">
        <v>300</v>
      </c>
    </row>
    <row r="34" spans="1:9" ht="21.95" customHeight="1" x14ac:dyDescent="0.3">
      <c r="A34">
        <v>13266763</v>
      </c>
      <c r="B34" s="6" t="s">
        <v>24</v>
      </c>
      <c r="C34" s="6" t="s">
        <v>301</v>
      </c>
      <c r="D34" s="6" t="s">
        <v>250</v>
      </c>
      <c r="E34" s="7" t="s">
        <v>251</v>
      </c>
      <c r="F34" s="8">
        <v>2000</v>
      </c>
      <c r="G34" s="8">
        <v>10000</v>
      </c>
      <c r="H34" s="6" t="s">
        <v>252</v>
      </c>
      <c r="I34" s="9" t="s">
        <v>302</v>
      </c>
    </row>
    <row r="35" spans="1:9" ht="21.95" customHeight="1" x14ac:dyDescent="0.3">
      <c r="A35">
        <v>8176583</v>
      </c>
      <c r="B35" s="2" t="s">
        <v>25</v>
      </c>
      <c r="C35" s="2" t="s">
        <v>25</v>
      </c>
      <c r="D35" s="2" t="s">
        <v>246</v>
      </c>
      <c r="E35" s="3" t="s">
        <v>247</v>
      </c>
      <c r="F35" s="4">
        <v>0</v>
      </c>
      <c r="G35" s="4">
        <v>0</v>
      </c>
      <c r="H35" s="2" t="s">
        <v>248</v>
      </c>
      <c r="I35" s="5" t="s">
        <v>303</v>
      </c>
    </row>
    <row r="36" spans="1:9" ht="21.95" customHeight="1" x14ac:dyDescent="0.3">
      <c r="A36">
        <v>984257114</v>
      </c>
      <c r="B36" s="6" t="s">
        <v>26</v>
      </c>
      <c r="C36" s="6" t="s">
        <v>304</v>
      </c>
      <c r="D36" s="6" t="s">
        <v>246</v>
      </c>
      <c r="E36" s="7" t="s">
        <v>247</v>
      </c>
      <c r="F36" s="8">
        <v>0</v>
      </c>
      <c r="G36" s="8">
        <v>0</v>
      </c>
      <c r="H36" s="6" t="s">
        <v>248</v>
      </c>
      <c r="I36" s="9" t="s">
        <v>305</v>
      </c>
    </row>
    <row r="37" spans="1:9" ht="21.95" customHeight="1" x14ac:dyDescent="0.3">
      <c r="A37">
        <v>8127461</v>
      </c>
      <c r="B37" s="2" t="s">
        <v>27</v>
      </c>
      <c r="C37" s="2" t="s">
        <v>306</v>
      </c>
      <c r="D37" s="2" t="s">
        <v>246</v>
      </c>
      <c r="E37" s="3" t="s">
        <v>247</v>
      </c>
      <c r="F37" s="4">
        <v>0</v>
      </c>
      <c r="G37" s="4">
        <v>0</v>
      </c>
      <c r="H37" s="2" t="s">
        <v>248</v>
      </c>
      <c r="I37" s="5" t="s">
        <v>307</v>
      </c>
    </row>
    <row r="38" spans="1:9" ht="21.95" customHeight="1" x14ac:dyDescent="0.3">
      <c r="A38">
        <v>1439312170</v>
      </c>
      <c r="B38" s="6" t="s">
        <v>28</v>
      </c>
      <c r="C38" s="6" t="s">
        <v>28</v>
      </c>
      <c r="D38" s="6" t="s">
        <v>250</v>
      </c>
      <c r="E38" s="7" t="s">
        <v>308</v>
      </c>
      <c r="F38" s="8">
        <v>2000</v>
      </c>
      <c r="G38" s="8">
        <v>10000</v>
      </c>
      <c r="H38" s="6" t="s">
        <v>252</v>
      </c>
      <c r="I38" s="9" t="s">
        <v>309</v>
      </c>
    </row>
    <row r="39" spans="1:9" ht="21.95" customHeight="1" x14ac:dyDescent="0.3">
      <c r="A39">
        <v>12765222</v>
      </c>
      <c r="B39" s="2" t="s">
        <v>310</v>
      </c>
      <c r="C39" s="2" t="s">
        <v>310</v>
      </c>
      <c r="D39" s="2" t="s">
        <v>246</v>
      </c>
      <c r="E39" s="3" t="s">
        <v>247</v>
      </c>
      <c r="F39" s="4">
        <v>0</v>
      </c>
      <c r="G39" s="4">
        <v>0</v>
      </c>
      <c r="H39" s="2" t="s">
        <v>248</v>
      </c>
      <c r="I39" s="5" t="s">
        <v>311</v>
      </c>
    </row>
    <row r="40" spans="1:9" ht="21.95" customHeight="1" x14ac:dyDescent="0.3">
      <c r="A40">
        <v>11641939</v>
      </c>
      <c r="B40" s="6" t="s">
        <v>312</v>
      </c>
      <c r="C40" s="6" t="s">
        <v>312</v>
      </c>
      <c r="D40" s="6" t="s">
        <v>246</v>
      </c>
      <c r="E40" s="7" t="s">
        <v>247</v>
      </c>
      <c r="F40" s="8">
        <v>0</v>
      </c>
      <c r="G40" s="8">
        <v>0</v>
      </c>
      <c r="H40" s="6" t="s">
        <v>248</v>
      </c>
      <c r="I40" s="9" t="s">
        <v>313</v>
      </c>
    </row>
    <row r="41" spans="1:9" ht="21.95" customHeight="1" x14ac:dyDescent="0.3">
      <c r="A41">
        <v>11529179</v>
      </c>
      <c r="B41" s="2" t="s">
        <v>29</v>
      </c>
      <c r="C41" s="2" t="s">
        <v>29</v>
      </c>
      <c r="D41" s="2" t="s">
        <v>246</v>
      </c>
      <c r="E41" s="3" t="s">
        <v>247</v>
      </c>
      <c r="F41" s="4">
        <v>0</v>
      </c>
      <c r="G41" s="4">
        <v>0</v>
      </c>
      <c r="H41" s="2" t="s">
        <v>248</v>
      </c>
      <c r="I41" s="5" t="s">
        <v>314</v>
      </c>
    </row>
    <row r="42" spans="1:9" ht="21.95" customHeight="1" x14ac:dyDescent="0.3">
      <c r="A42">
        <v>25049125</v>
      </c>
      <c r="B42" s="6" t="s">
        <v>315</v>
      </c>
      <c r="C42" s="6" t="s">
        <v>315</v>
      </c>
      <c r="D42" s="6" t="s">
        <v>266</v>
      </c>
      <c r="E42" s="7" t="s">
        <v>316</v>
      </c>
      <c r="F42" s="8">
        <v>1000</v>
      </c>
      <c r="G42" s="8">
        <v>5000</v>
      </c>
      <c r="H42" s="6" t="s">
        <v>268</v>
      </c>
      <c r="I42" s="9" t="s">
        <v>317</v>
      </c>
    </row>
    <row r="43" spans="1:9" ht="21.95" customHeight="1" x14ac:dyDescent="0.3">
      <c r="A43">
        <v>8235953</v>
      </c>
      <c r="B43" s="2" t="s">
        <v>30</v>
      </c>
      <c r="C43" s="2" t="s">
        <v>30</v>
      </c>
      <c r="D43" s="2" t="s">
        <v>246</v>
      </c>
      <c r="E43" s="3" t="s">
        <v>255</v>
      </c>
      <c r="F43" s="4">
        <v>0</v>
      </c>
      <c r="G43" s="4">
        <v>0</v>
      </c>
      <c r="H43" s="2" t="s">
        <v>248</v>
      </c>
      <c r="I43" s="5" t="s">
        <v>318</v>
      </c>
    </row>
    <row r="44" spans="1:9" ht="21.95" customHeight="1" x14ac:dyDescent="0.3">
      <c r="A44">
        <v>8214139</v>
      </c>
      <c r="B44" s="6" t="s">
        <v>31</v>
      </c>
      <c r="C44" s="6" t="s">
        <v>31</v>
      </c>
      <c r="D44" s="6" t="s">
        <v>246</v>
      </c>
      <c r="E44" s="7" t="s">
        <v>247</v>
      </c>
      <c r="F44" s="8">
        <v>0</v>
      </c>
      <c r="G44" s="8">
        <v>0</v>
      </c>
      <c r="H44" s="6" t="s">
        <v>248</v>
      </c>
      <c r="I44" s="9" t="s">
        <v>319</v>
      </c>
    </row>
    <row r="45" spans="1:9" ht="21.95" customHeight="1" x14ac:dyDescent="0.3">
      <c r="A45">
        <v>8713811</v>
      </c>
      <c r="B45" s="2" t="s">
        <v>32</v>
      </c>
      <c r="C45" s="2" t="s">
        <v>32</v>
      </c>
      <c r="D45" s="2" t="s">
        <v>266</v>
      </c>
      <c r="E45" s="3" t="s">
        <v>316</v>
      </c>
      <c r="F45" s="4">
        <v>1000</v>
      </c>
      <c r="G45" s="4">
        <v>5000</v>
      </c>
      <c r="H45" s="2" t="s">
        <v>268</v>
      </c>
      <c r="I45" s="5" t="s">
        <v>320</v>
      </c>
    </row>
    <row r="46" spans="1:9" ht="21.95" customHeight="1" x14ac:dyDescent="0.3">
      <c r="A46">
        <v>581564680</v>
      </c>
      <c r="B46" s="6" t="s">
        <v>33</v>
      </c>
      <c r="C46" s="6" t="s">
        <v>33</v>
      </c>
      <c r="D46" s="6" t="s">
        <v>246</v>
      </c>
      <c r="E46" s="7" t="s">
        <v>247</v>
      </c>
      <c r="F46" s="8">
        <v>0</v>
      </c>
      <c r="G46" s="8">
        <v>0</v>
      </c>
      <c r="H46" s="6" t="s">
        <v>248</v>
      </c>
      <c r="I46" s="9" t="s">
        <v>321</v>
      </c>
    </row>
    <row r="47" spans="1:9" ht="21.95" customHeight="1" x14ac:dyDescent="0.3">
      <c r="A47">
        <v>7879147</v>
      </c>
      <c r="B47" s="2" t="s">
        <v>34</v>
      </c>
      <c r="C47" s="2" t="s">
        <v>34</v>
      </c>
      <c r="D47" s="2" t="s">
        <v>266</v>
      </c>
      <c r="E47" s="3" t="s">
        <v>316</v>
      </c>
      <c r="F47" s="4">
        <v>1000</v>
      </c>
      <c r="G47" s="4">
        <v>5000</v>
      </c>
      <c r="H47" s="2" t="s">
        <v>268</v>
      </c>
      <c r="I47" s="5" t="s">
        <v>322</v>
      </c>
    </row>
    <row r="48" spans="1:9" ht="21.95" customHeight="1" x14ac:dyDescent="0.3">
      <c r="A48">
        <v>10389516</v>
      </c>
      <c r="B48" s="6" t="s">
        <v>35</v>
      </c>
      <c r="C48" s="6" t="s">
        <v>35</v>
      </c>
      <c r="D48" s="6" t="s">
        <v>266</v>
      </c>
      <c r="E48" s="7" t="s">
        <v>316</v>
      </c>
      <c r="F48" s="8">
        <v>1000</v>
      </c>
      <c r="G48" s="8">
        <v>5000</v>
      </c>
      <c r="H48" s="6" t="s">
        <v>268</v>
      </c>
      <c r="I48" s="9" t="s">
        <v>323</v>
      </c>
    </row>
    <row r="49" spans="1:9" ht="21.95" customHeight="1" x14ac:dyDescent="0.3">
      <c r="A49">
        <v>25572293</v>
      </c>
      <c r="B49" s="2" t="s">
        <v>324</v>
      </c>
      <c r="C49" s="2" t="s">
        <v>324</v>
      </c>
      <c r="D49" s="2" t="s">
        <v>246</v>
      </c>
      <c r="E49" s="3" t="s">
        <v>255</v>
      </c>
      <c r="F49" s="4">
        <v>0</v>
      </c>
      <c r="G49" s="4">
        <v>0</v>
      </c>
      <c r="H49" s="2" t="s">
        <v>248</v>
      </c>
      <c r="I49" s="5" t="s">
        <v>325</v>
      </c>
    </row>
    <row r="50" spans="1:9" ht="21.95" customHeight="1" x14ac:dyDescent="0.3">
      <c r="A50">
        <v>8208782</v>
      </c>
      <c r="B50" s="6" t="s">
        <v>36</v>
      </c>
      <c r="C50" s="6" t="s">
        <v>36</v>
      </c>
      <c r="D50" s="6" t="s">
        <v>238</v>
      </c>
      <c r="E50" s="7" t="s">
        <v>239</v>
      </c>
      <c r="F50" s="8">
        <v>0</v>
      </c>
      <c r="G50" s="8">
        <v>3000</v>
      </c>
      <c r="H50" s="6" t="s">
        <v>240</v>
      </c>
      <c r="I50" s="9" t="s">
        <v>326</v>
      </c>
    </row>
    <row r="51" spans="1:9" ht="21.95" customHeight="1" x14ac:dyDescent="0.3">
      <c r="A51">
        <v>1158129196</v>
      </c>
      <c r="B51" s="2" t="s">
        <v>37</v>
      </c>
      <c r="C51" s="2" t="s">
        <v>37</v>
      </c>
      <c r="D51" s="2" t="s">
        <v>266</v>
      </c>
      <c r="E51" s="3" t="s">
        <v>316</v>
      </c>
      <c r="F51" s="4">
        <v>1000</v>
      </c>
      <c r="G51" s="4">
        <v>5000</v>
      </c>
      <c r="H51" s="2" t="s">
        <v>268</v>
      </c>
      <c r="I51" s="5" t="s">
        <v>327</v>
      </c>
    </row>
    <row r="52" spans="1:9" ht="21.95" customHeight="1" x14ac:dyDescent="0.3">
      <c r="A52">
        <v>24505294</v>
      </c>
      <c r="B52" s="6" t="s">
        <v>38</v>
      </c>
      <c r="C52" s="6" t="s">
        <v>38</v>
      </c>
      <c r="D52" s="6" t="s">
        <v>266</v>
      </c>
      <c r="E52" s="7" t="s">
        <v>316</v>
      </c>
      <c r="F52" s="8">
        <v>1000</v>
      </c>
      <c r="G52" s="8">
        <v>5000</v>
      </c>
      <c r="H52" s="6" t="s">
        <v>268</v>
      </c>
      <c r="I52" s="9" t="s">
        <v>328</v>
      </c>
    </row>
    <row r="53" spans="1:9" ht="21.95" customHeight="1" x14ac:dyDescent="0.3">
      <c r="A53">
        <v>26558806</v>
      </c>
      <c r="B53" s="2" t="s">
        <v>329</v>
      </c>
      <c r="C53" s="2" t="s">
        <v>329</v>
      </c>
      <c r="D53" s="2" t="s">
        <v>246</v>
      </c>
      <c r="E53" s="3" t="s">
        <v>255</v>
      </c>
      <c r="F53" s="4">
        <v>0</v>
      </c>
      <c r="G53" s="4">
        <v>0</v>
      </c>
      <c r="H53" s="2" t="s">
        <v>248</v>
      </c>
      <c r="I53" s="5" t="s">
        <v>330</v>
      </c>
    </row>
    <row r="54" spans="1:9" ht="21.95" customHeight="1" x14ac:dyDescent="0.3">
      <c r="A54">
        <v>10134258</v>
      </c>
      <c r="B54" s="6" t="s">
        <v>39</v>
      </c>
      <c r="C54" s="6" t="s">
        <v>39</v>
      </c>
      <c r="D54" s="6" t="s">
        <v>250</v>
      </c>
      <c r="E54" s="7" t="s">
        <v>251</v>
      </c>
      <c r="F54" s="8">
        <v>2000</v>
      </c>
      <c r="G54" s="8">
        <v>10000</v>
      </c>
      <c r="H54" s="6" t="s">
        <v>252</v>
      </c>
      <c r="I54" s="9" t="s">
        <v>331</v>
      </c>
    </row>
    <row r="55" spans="1:9" ht="21.95" customHeight="1" x14ac:dyDescent="0.3">
      <c r="A55">
        <v>8696982</v>
      </c>
      <c r="B55" s="2" t="s">
        <v>40</v>
      </c>
      <c r="C55" s="2" t="s">
        <v>40</v>
      </c>
      <c r="D55" s="2" t="s">
        <v>246</v>
      </c>
      <c r="E55" s="3" t="s">
        <v>255</v>
      </c>
      <c r="F55" s="4">
        <v>0</v>
      </c>
      <c r="G55" s="4">
        <v>0</v>
      </c>
      <c r="H55" s="2" t="s">
        <v>248</v>
      </c>
      <c r="I55" s="5" t="s">
        <v>332</v>
      </c>
    </row>
    <row r="56" spans="1:9" ht="21.95" customHeight="1" x14ac:dyDescent="0.3">
      <c r="A56">
        <v>10195101</v>
      </c>
      <c r="B56" s="6" t="s">
        <v>41</v>
      </c>
      <c r="C56" s="6" t="s">
        <v>333</v>
      </c>
      <c r="D56" s="6" t="s">
        <v>238</v>
      </c>
      <c r="E56" s="7" t="s">
        <v>239</v>
      </c>
      <c r="F56" s="8">
        <v>0</v>
      </c>
      <c r="G56" s="8">
        <v>3000</v>
      </c>
      <c r="H56" s="6" t="s">
        <v>240</v>
      </c>
      <c r="I56" s="9" t="s">
        <v>334</v>
      </c>
    </row>
    <row r="57" spans="1:9" ht="21.95" customHeight="1" x14ac:dyDescent="0.3">
      <c r="A57">
        <v>8239112</v>
      </c>
      <c r="B57" s="2" t="s">
        <v>42</v>
      </c>
      <c r="C57" s="2" t="s">
        <v>42</v>
      </c>
      <c r="D57" s="2" t="s">
        <v>246</v>
      </c>
      <c r="E57" s="3" t="s">
        <v>247</v>
      </c>
      <c r="F57" s="4">
        <v>0</v>
      </c>
      <c r="G57" s="4">
        <v>0</v>
      </c>
      <c r="H57" s="2" t="s">
        <v>248</v>
      </c>
      <c r="I57" s="5" t="s">
        <v>335</v>
      </c>
    </row>
    <row r="58" spans="1:9" ht="21.95" customHeight="1" x14ac:dyDescent="0.3">
      <c r="A58">
        <v>1641336553</v>
      </c>
      <c r="B58" s="6" t="s">
        <v>43</v>
      </c>
      <c r="C58" s="6" t="s">
        <v>43</v>
      </c>
      <c r="D58" s="6" t="s">
        <v>250</v>
      </c>
      <c r="E58" s="7" t="s">
        <v>251</v>
      </c>
      <c r="F58" s="8">
        <v>2000</v>
      </c>
      <c r="G58" s="8">
        <v>10000</v>
      </c>
      <c r="H58" s="6" t="s">
        <v>252</v>
      </c>
      <c r="I58" s="9" t="s">
        <v>336</v>
      </c>
    </row>
    <row r="59" spans="1:9" ht="21.95" customHeight="1" x14ac:dyDescent="0.3">
      <c r="A59">
        <v>8013497</v>
      </c>
      <c r="B59" s="2" t="s">
        <v>44</v>
      </c>
      <c r="C59" s="2" t="s">
        <v>337</v>
      </c>
      <c r="D59" s="2" t="s">
        <v>246</v>
      </c>
      <c r="E59" s="3" t="s">
        <v>247</v>
      </c>
      <c r="F59" s="4">
        <v>0</v>
      </c>
      <c r="G59" s="4">
        <v>0</v>
      </c>
      <c r="H59" s="2" t="s">
        <v>248</v>
      </c>
      <c r="I59" s="5" t="s">
        <v>338</v>
      </c>
    </row>
    <row r="60" spans="1:9" ht="21.95" customHeight="1" x14ac:dyDescent="0.3">
      <c r="A60">
        <v>291863218</v>
      </c>
      <c r="B60" s="6" t="s">
        <v>45</v>
      </c>
      <c r="C60" s="6" t="s">
        <v>339</v>
      </c>
      <c r="D60" s="6" t="s">
        <v>246</v>
      </c>
      <c r="E60" s="7" t="s">
        <v>247</v>
      </c>
      <c r="F60" s="8">
        <v>0</v>
      </c>
      <c r="G60" s="8">
        <v>0</v>
      </c>
      <c r="H60" s="6" t="s">
        <v>248</v>
      </c>
      <c r="I60" s="9" t="s">
        <v>340</v>
      </c>
    </row>
    <row r="61" spans="1:9" ht="21.95" customHeight="1" x14ac:dyDescent="0.3">
      <c r="A61">
        <v>18059918</v>
      </c>
      <c r="B61" s="2" t="s">
        <v>46</v>
      </c>
      <c r="C61" s="2" t="s">
        <v>46</v>
      </c>
      <c r="D61" s="2" t="s">
        <v>246</v>
      </c>
      <c r="E61" s="3" t="s">
        <v>255</v>
      </c>
      <c r="F61" s="4">
        <v>0</v>
      </c>
      <c r="G61" s="4">
        <v>0</v>
      </c>
      <c r="H61" s="2" t="s">
        <v>248</v>
      </c>
      <c r="I61" s="5" t="s">
        <v>341</v>
      </c>
    </row>
    <row r="62" spans="1:9" ht="21.95" customHeight="1" x14ac:dyDescent="0.3">
      <c r="A62">
        <v>17807543</v>
      </c>
      <c r="B62" s="6" t="s">
        <v>47</v>
      </c>
      <c r="C62" s="6" t="s">
        <v>342</v>
      </c>
      <c r="D62" s="6" t="s">
        <v>246</v>
      </c>
      <c r="E62" s="7" t="s">
        <v>255</v>
      </c>
      <c r="F62" s="8">
        <v>0</v>
      </c>
      <c r="G62" s="8">
        <v>0</v>
      </c>
      <c r="H62" s="6" t="s">
        <v>248</v>
      </c>
      <c r="I62" s="9" t="s">
        <v>343</v>
      </c>
    </row>
    <row r="63" spans="1:9" ht="21.95" customHeight="1" x14ac:dyDescent="0.3">
      <c r="A63">
        <v>8251908</v>
      </c>
      <c r="B63" s="2" t="s">
        <v>344</v>
      </c>
      <c r="C63" s="2" t="s">
        <v>344</v>
      </c>
      <c r="D63" s="2" t="s">
        <v>246</v>
      </c>
      <c r="E63" s="3" t="s">
        <v>247</v>
      </c>
      <c r="F63" s="4">
        <v>0</v>
      </c>
      <c r="G63" s="4">
        <v>0</v>
      </c>
      <c r="H63" s="2" t="s">
        <v>248</v>
      </c>
      <c r="I63" s="5" t="s">
        <v>345</v>
      </c>
    </row>
    <row r="64" spans="1:9" ht="21.95" customHeight="1" x14ac:dyDescent="0.3">
      <c r="A64">
        <v>8226156</v>
      </c>
      <c r="B64" s="6" t="s">
        <v>48</v>
      </c>
      <c r="C64" s="6" t="s">
        <v>48</v>
      </c>
      <c r="D64" s="6" t="s">
        <v>246</v>
      </c>
      <c r="E64" s="7" t="s">
        <v>255</v>
      </c>
      <c r="F64" s="8">
        <v>0</v>
      </c>
      <c r="G64" s="8">
        <v>0</v>
      </c>
      <c r="H64" s="6" t="s">
        <v>248</v>
      </c>
      <c r="I64" s="9" t="s">
        <v>346</v>
      </c>
    </row>
    <row r="65" spans="1:9" ht="21.95" customHeight="1" x14ac:dyDescent="0.3">
      <c r="A65">
        <v>11276521</v>
      </c>
      <c r="B65" s="2" t="s">
        <v>49</v>
      </c>
      <c r="C65" s="2" t="s">
        <v>49</v>
      </c>
      <c r="D65" s="2" t="s">
        <v>246</v>
      </c>
      <c r="E65" s="3" t="s">
        <v>247</v>
      </c>
      <c r="F65" s="4">
        <v>0</v>
      </c>
      <c r="G65" s="4">
        <v>0</v>
      </c>
      <c r="H65" s="2" t="s">
        <v>248</v>
      </c>
      <c r="I65" s="5" t="s">
        <v>347</v>
      </c>
    </row>
    <row r="66" spans="1:9" ht="21.95" customHeight="1" x14ac:dyDescent="0.3">
      <c r="A66">
        <v>25042265</v>
      </c>
      <c r="B66" s="6" t="s">
        <v>50</v>
      </c>
      <c r="C66" s="6" t="s">
        <v>50</v>
      </c>
      <c r="D66" s="6" t="s">
        <v>246</v>
      </c>
      <c r="E66" s="7" t="s">
        <v>247</v>
      </c>
      <c r="F66" s="8">
        <v>0</v>
      </c>
      <c r="G66" s="8">
        <v>0</v>
      </c>
      <c r="H66" s="6" t="s">
        <v>248</v>
      </c>
      <c r="I66" s="9" t="s">
        <v>348</v>
      </c>
    </row>
    <row r="67" spans="1:9" ht="21.95" customHeight="1" x14ac:dyDescent="0.3">
      <c r="A67">
        <v>24876688</v>
      </c>
      <c r="B67" s="2" t="s">
        <v>51</v>
      </c>
      <c r="C67" s="2" t="s">
        <v>51</v>
      </c>
      <c r="D67" s="2" t="s">
        <v>246</v>
      </c>
      <c r="E67" s="3" t="s">
        <v>247</v>
      </c>
      <c r="F67" s="4">
        <v>0</v>
      </c>
      <c r="G67" s="4">
        <v>0</v>
      </c>
      <c r="H67" s="2" t="s">
        <v>248</v>
      </c>
      <c r="I67" s="5" t="s">
        <v>349</v>
      </c>
    </row>
    <row r="68" spans="1:9" ht="21.95" customHeight="1" x14ac:dyDescent="0.3">
      <c r="A68">
        <v>10260730</v>
      </c>
      <c r="B68" s="6" t="s">
        <v>52</v>
      </c>
      <c r="C68" s="6" t="s">
        <v>350</v>
      </c>
      <c r="D68" s="6" t="s">
        <v>242</v>
      </c>
      <c r="E68" s="7" t="s">
        <v>351</v>
      </c>
      <c r="F68" s="8">
        <v>8000</v>
      </c>
      <c r="G68" s="8">
        <v>20000</v>
      </c>
      <c r="H68" s="6" t="s">
        <v>243</v>
      </c>
      <c r="I68" s="9" t="s">
        <v>352</v>
      </c>
    </row>
    <row r="69" spans="1:9" ht="21.95" customHeight="1" x14ac:dyDescent="0.3">
      <c r="A69">
        <v>1926175775</v>
      </c>
      <c r="B69" s="2" t="s">
        <v>53</v>
      </c>
      <c r="C69" s="2" t="s">
        <v>53</v>
      </c>
      <c r="D69" s="2" t="s">
        <v>242</v>
      </c>
      <c r="E69" s="3" t="s">
        <v>351</v>
      </c>
      <c r="F69" s="4">
        <v>8000</v>
      </c>
      <c r="G69" s="4">
        <v>20000</v>
      </c>
      <c r="H69" s="2" t="s">
        <v>243</v>
      </c>
      <c r="I69" s="5" t="s">
        <v>353</v>
      </c>
    </row>
    <row r="70" spans="1:9" ht="21.95" customHeight="1" x14ac:dyDescent="0.3">
      <c r="A70">
        <v>8302996</v>
      </c>
      <c r="B70" s="6" t="s">
        <v>54</v>
      </c>
      <c r="C70" s="6" t="s">
        <v>354</v>
      </c>
      <c r="D70" s="6" t="s">
        <v>266</v>
      </c>
      <c r="E70" s="7" t="s">
        <v>316</v>
      </c>
      <c r="F70" s="8">
        <v>1000</v>
      </c>
      <c r="G70" s="8">
        <v>5000</v>
      </c>
      <c r="H70" s="6" t="s">
        <v>268</v>
      </c>
      <c r="I70" s="9" t="s">
        <v>355</v>
      </c>
    </row>
    <row r="71" spans="1:9" ht="21.95" customHeight="1" x14ac:dyDescent="0.3">
      <c r="A71">
        <v>7821105</v>
      </c>
      <c r="B71" s="2" t="s">
        <v>356</v>
      </c>
      <c r="C71" s="2" t="s">
        <v>356</v>
      </c>
      <c r="D71" s="2" t="s">
        <v>246</v>
      </c>
      <c r="E71" s="3" t="s">
        <v>255</v>
      </c>
      <c r="F71" s="4">
        <v>0</v>
      </c>
      <c r="G71" s="4">
        <v>0</v>
      </c>
      <c r="H71" s="2" t="s">
        <v>248</v>
      </c>
      <c r="I71" s="5" t="s">
        <v>357</v>
      </c>
    </row>
    <row r="72" spans="1:9" ht="21.95" customHeight="1" x14ac:dyDescent="0.3">
      <c r="A72">
        <v>7828533</v>
      </c>
      <c r="B72" s="6" t="s">
        <v>55</v>
      </c>
      <c r="C72" s="6" t="s">
        <v>55</v>
      </c>
      <c r="D72" s="6" t="s">
        <v>246</v>
      </c>
      <c r="E72" s="7" t="s">
        <v>255</v>
      </c>
      <c r="F72" s="8">
        <v>0</v>
      </c>
      <c r="G72" s="8">
        <v>0</v>
      </c>
      <c r="H72" s="6" t="s">
        <v>248</v>
      </c>
      <c r="I72" s="9" t="s">
        <v>358</v>
      </c>
    </row>
    <row r="73" spans="1:9" ht="21.95" customHeight="1" x14ac:dyDescent="0.3">
      <c r="A73">
        <v>405308632</v>
      </c>
      <c r="B73" s="2" t="s">
        <v>56</v>
      </c>
      <c r="C73" s="2" t="s">
        <v>56</v>
      </c>
      <c r="D73" s="2" t="s">
        <v>246</v>
      </c>
      <c r="E73" s="3" t="s">
        <v>255</v>
      </c>
      <c r="F73" s="4">
        <v>0</v>
      </c>
      <c r="G73" s="4">
        <v>0</v>
      </c>
      <c r="H73" s="2" t="s">
        <v>248</v>
      </c>
      <c r="I73" s="5" t="s">
        <v>359</v>
      </c>
    </row>
    <row r="74" spans="1:9" ht="21.95" customHeight="1" x14ac:dyDescent="0.3">
      <c r="A74">
        <v>1437031172</v>
      </c>
      <c r="B74" s="6" t="s">
        <v>57</v>
      </c>
      <c r="C74" s="6" t="s">
        <v>57</v>
      </c>
      <c r="D74" s="6" t="s">
        <v>250</v>
      </c>
      <c r="E74" s="7" t="s">
        <v>308</v>
      </c>
      <c r="F74" s="8">
        <v>2000</v>
      </c>
      <c r="G74" s="8">
        <v>10000</v>
      </c>
      <c r="H74" s="6" t="s">
        <v>252</v>
      </c>
      <c r="I74" s="9" t="s">
        <v>360</v>
      </c>
    </row>
    <row r="75" spans="1:9" ht="21.95" customHeight="1" x14ac:dyDescent="0.3">
      <c r="A75">
        <v>10304718</v>
      </c>
      <c r="B75" s="2" t="s">
        <v>58</v>
      </c>
      <c r="C75" s="2" t="s">
        <v>58</v>
      </c>
      <c r="D75" s="2" t="s">
        <v>285</v>
      </c>
      <c r="E75" s="3" t="s">
        <v>361</v>
      </c>
      <c r="F75" s="4">
        <v>10000</v>
      </c>
      <c r="G75" s="4">
        <v>35000</v>
      </c>
      <c r="H75" s="2" t="s">
        <v>287</v>
      </c>
      <c r="I75" s="5" t="s">
        <v>362</v>
      </c>
    </row>
    <row r="76" spans="1:9" ht="21.95" customHeight="1" x14ac:dyDescent="0.3">
      <c r="A76">
        <v>21426512</v>
      </c>
      <c r="B76" s="6" t="s">
        <v>59</v>
      </c>
      <c r="C76" s="6" t="s">
        <v>59</v>
      </c>
      <c r="D76" s="6" t="s">
        <v>266</v>
      </c>
      <c r="E76" s="7" t="s">
        <v>316</v>
      </c>
      <c r="F76" s="8">
        <v>1000</v>
      </c>
      <c r="G76" s="8">
        <v>5000</v>
      </c>
      <c r="H76" s="6" t="s">
        <v>268</v>
      </c>
      <c r="I76" s="9" t="s">
        <v>363</v>
      </c>
    </row>
    <row r="77" spans="1:9" ht="21.95" customHeight="1" x14ac:dyDescent="0.3">
      <c r="A77">
        <v>18848465</v>
      </c>
      <c r="B77" s="2" t="s">
        <v>364</v>
      </c>
      <c r="C77" s="2" t="s">
        <v>365</v>
      </c>
      <c r="D77" s="2" t="s">
        <v>246</v>
      </c>
      <c r="E77" s="3" t="s">
        <v>247</v>
      </c>
      <c r="F77" s="4">
        <v>0</v>
      </c>
      <c r="G77" s="4">
        <v>0</v>
      </c>
      <c r="H77" s="2" t="s">
        <v>248</v>
      </c>
      <c r="I77" s="5" t="s">
        <v>366</v>
      </c>
    </row>
    <row r="78" spans="1:9" ht="21.95" customHeight="1" x14ac:dyDescent="0.3">
      <c r="A78">
        <v>1960058011</v>
      </c>
      <c r="B78" s="6" t="s">
        <v>60</v>
      </c>
      <c r="C78" s="6" t="s">
        <v>60</v>
      </c>
      <c r="D78" s="6" t="s">
        <v>246</v>
      </c>
      <c r="E78" s="7" t="s">
        <v>247</v>
      </c>
      <c r="F78" s="8">
        <v>0</v>
      </c>
      <c r="G78" s="8">
        <v>0</v>
      </c>
      <c r="H78" s="6" t="s">
        <v>248</v>
      </c>
      <c r="I78" s="9" t="s">
        <v>367</v>
      </c>
    </row>
    <row r="79" spans="1:9" ht="21.95" customHeight="1" x14ac:dyDescent="0.3">
      <c r="A79">
        <v>27299636</v>
      </c>
      <c r="B79" s="2" t="s">
        <v>61</v>
      </c>
      <c r="C79" s="2" t="s">
        <v>61</v>
      </c>
      <c r="D79" s="2" t="s">
        <v>246</v>
      </c>
      <c r="E79" s="3" t="s">
        <v>247</v>
      </c>
      <c r="F79" s="4">
        <v>0</v>
      </c>
      <c r="G79" s="4">
        <v>0</v>
      </c>
      <c r="H79" s="2" t="s">
        <v>248</v>
      </c>
      <c r="I79" s="5" t="s">
        <v>368</v>
      </c>
    </row>
    <row r="80" spans="1:9" ht="21.95" customHeight="1" x14ac:dyDescent="0.3">
      <c r="A80">
        <v>8400497</v>
      </c>
      <c r="B80" s="6" t="s">
        <v>369</v>
      </c>
      <c r="C80" s="6" t="s">
        <v>369</v>
      </c>
      <c r="D80" s="6" t="s">
        <v>246</v>
      </c>
      <c r="E80" s="7" t="s">
        <v>291</v>
      </c>
      <c r="F80" s="8">
        <v>0</v>
      </c>
      <c r="G80" s="8">
        <v>0</v>
      </c>
      <c r="H80" s="6" t="s">
        <v>248</v>
      </c>
      <c r="I80" s="9" t="s">
        <v>370</v>
      </c>
    </row>
    <row r="81" spans="1:9" ht="21.95" customHeight="1" x14ac:dyDescent="0.3">
      <c r="A81">
        <v>1099711468</v>
      </c>
      <c r="B81" s="2" t="s">
        <v>62</v>
      </c>
      <c r="C81" s="2" t="s">
        <v>62</v>
      </c>
      <c r="D81" s="2" t="s">
        <v>266</v>
      </c>
      <c r="E81" s="3" t="s">
        <v>267</v>
      </c>
      <c r="F81" s="4">
        <v>1000</v>
      </c>
      <c r="G81" s="4">
        <v>5000</v>
      </c>
      <c r="H81" s="2" t="s">
        <v>268</v>
      </c>
      <c r="I81" s="5" t="s">
        <v>371</v>
      </c>
    </row>
    <row r="82" spans="1:9" ht="21.95" customHeight="1" x14ac:dyDescent="0.3">
      <c r="A82">
        <v>27024684</v>
      </c>
      <c r="B82" s="6" t="s">
        <v>372</v>
      </c>
      <c r="C82" s="6" t="s">
        <v>373</v>
      </c>
      <c r="D82" s="6" t="s">
        <v>246</v>
      </c>
      <c r="E82" s="7" t="s">
        <v>255</v>
      </c>
      <c r="F82" s="8">
        <v>0</v>
      </c>
      <c r="G82" s="8">
        <v>0</v>
      </c>
      <c r="H82" s="6" t="s">
        <v>248</v>
      </c>
      <c r="I82" s="9" t="s">
        <v>374</v>
      </c>
    </row>
    <row r="83" spans="1:9" ht="21.95" customHeight="1" x14ac:dyDescent="0.3">
      <c r="A83">
        <v>26274510</v>
      </c>
      <c r="B83" s="2" t="s">
        <v>63</v>
      </c>
      <c r="C83" s="2" t="s">
        <v>63</v>
      </c>
      <c r="D83" s="2" t="s">
        <v>250</v>
      </c>
      <c r="E83" s="3" t="s">
        <v>251</v>
      </c>
      <c r="F83" s="4">
        <v>2000</v>
      </c>
      <c r="G83" s="4">
        <v>10000</v>
      </c>
      <c r="H83" s="2" t="s">
        <v>252</v>
      </c>
      <c r="I83" s="5" t="s">
        <v>375</v>
      </c>
    </row>
    <row r="84" spans="1:9" ht="21.95" customHeight="1" x14ac:dyDescent="0.3">
      <c r="A84">
        <v>1571203637</v>
      </c>
      <c r="B84" s="6" t="s">
        <v>64</v>
      </c>
      <c r="C84" s="6" t="s">
        <v>376</v>
      </c>
      <c r="D84" s="6" t="s">
        <v>242</v>
      </c>
      <c r="E84" s="7" t="s">
        <v>351</v>
      </c>
      <c r="F84" s="8">
        <v>8000</v>
      </c>
      <c r="G84" s="8">
        <v>20000</v>
      </c>
      <c r="H84" s="6" t="s">
        <v>243</v>
      </c>
      <c r="I84" s="9" t="s">
        <v>377</v>
      </c>
    </row>
    <row r="85" spans="1:9" ht="21.95" customHeight="1" x14ac:dyDescent="0.3">
      <c r="A85">
        <v>1908834498</v>
      </c>
      <c r="B85" s="2" t="s">
        <v>378</v>
      </c>
      <c r="C85" s="2" t="s">
        <v>378</v>
      </c>
      <c r="D85" s="2" t="s">
        <v>285</v>
      </c>
      <c r="E85" s="3" t="s">
        <v>361</v>
      </c>
      <c r="F85" s="4">
        <v>10000</v>
      </c>
      <c r="G85" s="4">
        <v>35000</v>
      </c>
      <c r="H85" s="2" t="s">
        <v>287</v>
      </c>
      <c r="I85" s="5" t="s">
        <v>379</v>
      </c>
    </row>
    <row r="86" spans="1:9" ht="21.95" customHeight="1" x14ac:dyDescent="0.3">
      <c r="A86">
        <v>25227488</v>
      </c>
      <c r="B86" s="6" t="s">
        <v>380</v>
      </c>
      <c r="C86" s="6" t="s">
        <v>381</v>
      </c>
      <c r="D86" s="6" t="s">
        <v>246</v>
      </c>
      <c r="E86" s="7" t="s">
        <v>247</v>
      </c>
      <c r="F86" s="8">
        <v>0</v>
      </c>
      <c r="G86" s="8">
        <v>0</v>
      </c>
      <c r="H86" s="6" t="s">
        <v>248</v>
      </c>
      <c r="I86" s="9" t="s">
        <v>382</v>
      </c>
    </row>
    <row r="87" spans="1:9" ht="21.95" customHeight="1" x14ac:dyDescent="0.3">
      <c r="A87">
        <v>816303389</v>
      </c>
      <c r="B87" s="2" t="s">
        <v>65</v>
      </c>
      <c r="C87" s="2" t="s">
        <v>65</v>
      </c>
      <c r="D87" s="2" t="s">
        <v>297</v>
      </c>
      <c r="E87" s="3" t="s">
        <v>298</v>
      </c>
      <c r="F87" s="4">
        <v>0</v>
      </c>
      <c r="G87" s="4">
        <v>0</v>
      </c>
      <c r="H87" s="2" t="s">
        <v>299</v>
      </c>
      <c r="I87" s="5" t="s">
        <v>383</v>
      </c>
    </row>
    <row r="88" spans="1:9" ht="21.95" customHeight="1" x14ac:dyDescent="0.3">
      <c r="A88">
        <v>11081458</v>
      </c>
      <c r="B88" s="6" t="s">
        <v>66</v>
      </c>
      <c r="C88" s="6" t="s">
        <v>66</v>
      </c>
      <c r="D88" s="6" t="s">
        <v>246</v>
      </c>
      <c r="E88" s="7" t="s">
        <v>255</v>
      </c>
      <c r="F88" s="8">
        <v>0</v>
      </c>
      <c r="G88" s="8">
        <v>0</v>
      </c>
      <c r="H88" s="6" t="s">
        <v>248</v>
      </c>
      <c r="I88" s="9" t="s">
        <v>384</v>
      </c>
    </row>
    <row r="89" spans="1:9" ht="21.95" customHeight="1" x14ac:dyDescent="0.3">
      <c r="A89">
        <v>19125936</v>
      </c>
      <c r="B89" s="2" t="s">
        <v>67</v>
      </c>
      <c r="C89" s="2" t="s">
        <v>385</v>
      </c>
      <c r="D89" s="2" t="s">
        <v>246</v>
      </c>
      <c r="E89" s="3" t="s">
        <v>255</v>
      </c>
      <c r="F89" s="4">
        <v>0</v>
      </c>
      <c r="G89" s="4">
        <v>0</v>
      </c>
      <c r="H89" s="2" t="s">
        <v>248</v>
      </c>
      <c r="I89" s="5" t="s">
        <v>386</v>
      </c>
    </row>
    <row r="90" spans="1:9" ht="21.95" customHeight="1" x14ac:dyDescent="0.3">
      <c r="A90">
        <v>7869451</v>
      </c>
      <c r="B90" s="6" t="s">
        <v>387</v>
      </c>
      <c r="C90" s="6" t="s">
        <v>388</v>
      </c>
      <c r="D90" s="6" t="s">
        <v>246</v>
      </c>
      <c r="E90" s="7" t="s">
        <v>255</v>
      </c>
      <c r="F90" s="8">
        <v>0</v>
      </c>
      <c r="G90" s="8">
        <v>0</v>
      </c>
      <c r="H90" s="6" t="s">
        <v>248</v>
      </c>
      <c r="I90" s="9" t="s">
        <v>389</v>
      </c>
    </row>
    <row r="91" spans="1:9" ht="21.95" customHeight="1" x14ac:dyDescent="0.3">
      <c r="A91">
        <v>990096420</v>
      </c>
      <c r="B91" s="2" t="s">
        <v>390</v>
      </c>
      <c r="C91" s="2" t="s">
        <v>390</v>
      </c>
      <c r="D91" s="2" t="s">
        <v>246</v>
      </c>
      <c r="E91" s="3" t="s">
        <v>247</v>
      </c>
      <c r="F91" s="4">
        <v>0</v>
      </c>
      <c r="G91" s="4">
        <v>0</v>
      </c>
      <c r="H91" s="2" t="s">
        <v>248</v>
      </c>
      <c r="I91" s="5" t="s">
        <v>391</v>
      </c>
    </row>
    <row r="92" spans="1:9" ht="21.95" customHeight="1" x14ac:dyDescent="0.3">
      <c r="A92">
        <v>11250175</v>
      </c>
      <c r="B92" s="6" t="s">
        <v>68</v>
      </c>
      <c r="C92" s="6" t="s">
        <v>68</v>
      </c>
      <c r="D92" s="6" t="s">
        <v>246</v>
      </c>
      <c r="E92" s="7" t="s">
        <v>255</v>
      </c>
      <c r="F92" s="8">
        <v>0</v>
      </c>
      <c r="G92" s="8">
        <v>0</v>
      </c>
      <c r="H92" s="6" t="s">
        <v>248</v>
      </c>
      <c r="I92" s="9" t="s">
        <v>392</v>
      </c>
    </row>
    <row r="93" spans="1:9" ht="21.95" customHeight="1" x14ac:dyDescent="0.3">
      <c r="A93">
        <v>8574564</v>
      </c>
      <c r="B93" s="2" t="s">
        <v>69</v>
      </c>
      <c r="C93" s="2" t="s">
        <v>393</v>
      </c>
      <c r="D93" s="2" t="s">
        <v>246</v>
      </c>
      <c r="E93" s="3" t="s">
        <v>247</v>
      </c>
      <c r="F93" s="4">
        <v>0</v>
      </c>
      <c r="G93" s="4">
        <v>0</v>
      </c>
      <c r="H93" s="2" t="s">
        <v>248</v>
      </c>
      <c r="I93" s="5" t="s">
        <v>394</v>
      </c>
    </row>
    <row r="94" spans="1:9" ht="21.95" customHeight="1" x14ac:dyDescent="0.3">
      <c r="A94">
        <v>7880709</v>
      </c>
      <c r="B94" s="6" t="s">
        <v>70</v>
      </c>
      <c r="C94" s="6" t="s">
        <v>395</v>
      </c>
      <c r="D94" s="6" t="s">
        <v>246</v>
      </c>
      <c r="E94" s="7" t="s">
        <v>247</v>
      </c>
      <c r="F94" s="8">
        <v>0</v>
      </c>
      <c r="G94" s="8">
        <v>0</v>
      </c>
      <c r="H94" s="6" t="s">
        <v>248</v>
      </c>
      <c r="I94" s="9" t="s">
        <v>396</v>
      </c>
    </row>
    <row r="95" spans="1:9" ht="21.95" customHeight="1" x14ac:dyDescent="0.3">
      <c r="A95">
        <v>1294246909</v>
      </c>
      <c r="B95" s="2" t="s">
        <v>71</v>
      </c>
      <c r="C95" s="2" t="s">
        <v>71</v>
      </c>
      <c r="D95" s="2" t="s">
        <v>246</v>
      </c>
      <c r="E95" s="3" t="s">
        <v>255</v>
      </c>
      <c r="F95" s="4">
        <v>0</v>
      </c>
      <c r="G95" s="4">
        <v>0</v>
      </c>
      <c r="H95" s="2" t="s">
        <v>248</v>
      </c>
      <c r="I95" s="5" t="s">
        <v>397</v>
      </c>
    </row>
    <row r="96" spans="1:9" ht="21.95" customHeight="1" x14ac:dyDescent="0.3">
      <c r="A96">
        <v>21674777</v>
      </c>
      <c r="B96" s="6" t="s">
        <v>72</v>
      </c>
      <c r="C96" s="6" t="s">
        <v>72</v>
      </c>
      <c r="D96" s="6" t="s">
        <v>246</v>
      </c>
      <c r="E96" s="7" t="s">
        <v>255</v>
      </c>
      <c r="F96" s="8">
        <v>0</v>
      </c>
      <c r="G96" s="8">
        <v>0</v>
      </c>
      <c r="H96" s="6" t="s">
        <v>248</v>
      </c>
      <c r="I96" s="9" t="s">
        <v>398</v>
      </c>
    </row>
    <row r="97" spans="1:9" ht="21.95" customHeight="1" x14ac:dyDescent="0.3">
      <c r="A97">
        <v>27584256</v>
      </c>
      <c r="B97" s="2" t="s">
        <v>73</v>
      </c>
      <c r="C97" s="2" t="s">
        <v>73</v>
      </c>
      <c r="D97" s="2" t="s">
        <v>246</v>
      </c>
      <c r="E97" s="3" t="s">
        <v>255</v>
      </c>
      <c r="F97" s="4">
        <v>0</v>
      </c>
      <c r="G97" s="4">
        <v>0</v>
      </c>
      <c r="H97" s="2" t="s">
        <v>248</v>
      </c>
      <c r="I97" s="5" t="s">
        <v>399</v>
      </c>
    </row>
    <row r="98" spans="1:9" ht="21.95" customHeight="1" x14ac:dyDescent="0.3">
      <c r="A98">
        <v>10404709</v>
      </c>
      <c r="B98" s="6" t="s">
        <v>400</v>
      </c>
      <c r="C98" s="6" t="s">
        <v>400</v>
      </c>
      <c r="D98" s="6" t="s">
        <v>246</v>
      </c>
      <c r="E98" s="7" t="s">
        <v>247</v>
      </c>
      <c r="F98" s="8">
        <v>0</v>
      </c>
      <c r="G98" s="8">
        <v>0</v>
      </c>
      <c r="H98" s="6" t="s">
        <v>248</v>
      </c>
      <c r="I98" s="9" t="s">
        <v>401</v>
      </c>
    </row>
    <row r="99" spans="1:9" ht="21.95" customHeight="1" x14ac:dyDescent="0.3">
      <c r="A99">
        <v>7881838</v>
      </c>
      <c r="B99" s="2" t="s">
        <v>402</v>
      </c>
      <c r="C99" s="2" t="s">
        <v>402</v>
      </c>
      <c r="D99" s="2" t="s">
        <v>246</v>
      </c>
      <c r="E99" s="3" t="s">
        <v>255</v>
      </c>
      <c r="F99" s="4">
        <v>0</v>
      </c>
      <c r="G99" s="4">
        <v>0</v>
      </c>
      <c r="H99" s="2" t="s">
        <v>248</v>
      </c>
      <c r="I99" s="5" t="s">
        <v>403</v>
      </c>
    </row>
    <row r="100" spans="1:9" ht="21.95" customHeight="1" x14ac:dyDescent="0.3">
      <c r="A100">
        <v>7879147</v>
      </c>
      <c r="B100" s="6" t="s">
        <v>404</v>
      </c>
      <c r="C100" s="6" t="s">
        <v>34</v>
      </c>
      <c r="D100" s="6" t="s">
        <v>266</v>
      </c>
      <c r="E100" s="7" t="s">
        <v>316</v>
      </c>
      <c r="F100" s="8">
        <v>1000</v>
      </c>
      <c r="G100" s="8">
        <v>5000</v>
      </c>
      <c r="H100" s="6" t="s">
        <v>268</v>
      </c>
      <c r="I100" s="9" t="s">
        <v>322</v>
      </c>
    </row>
    <row r="101" spans="1:9" ht="21.95" customHeight="1" x14ac:dyDescent="0.3">
      <c r="A101">
        <v>7887114</v>
      </c>
      <c r="B101" s="2" t="s">
        <v>74</v>
      </c>
      <c r="C101" s="2" t="s">
        <v>74</v>
      </c>
      <c r="D101" s="2" t="s">
        <v>246</v>
      </c>
      <c r="E101" s="3" t="s">
        <v>255</v>
      </c>
      <c r="F101" s="4">
        <v>0</v>
      </c>
      <c r="G101" s="4">
        <v>0</v>
      </c>
      <c r="H101" s="2" t="s">
        <v>248</v>
      </c>
      <c r="I101" s="5" t="s">
        <v>405</v>
      </c>
    </row>
    <row r="102" spans="1:9" ht="21.95" customHeight="1" x14ac:dyDescent="0.3">
      <c r="A102">
        <v>10399968</v>
      </c>
      <c r="B102" s="6" t="s">
        <v>75</v>
      </c>
      <c r="C102" s="6" t="s">
        <v>406</v>
      </c>
      <c r="D102" s="6" t="s">
        <v>246</v>
      </c>
      <c r="E102" s="7" t="s">
        <v>255</v>
      </c>
      <c r="F102" s="8">
        <v>0</v>
      </c>
      <c r="G102" s="8">
        <v>0</v>
      </c>
      <c r="H102" s="6" t="s">
        <v>248</v>
      </c>
      <c r="I102" s="9" t="s">
        <v>407</v>
      </c>
    </row>
    <row r="103" spans="1:9" ht="21.95" customHeight="1" x14ac:dyDescent="0.3">
      <c r="A103">
        <v>12463854</v>
      </c>
      <c r="B103" s="2" t="s">
        <v>76</v>
      </c>
      <c r="C103" s="2" t="s">
        <v>408</v>
      </c>
      <c r="D103" s="2" t="s">
        <v>250</v>
      </c>
      <c r="E103" s="3" t="s">
        <v>251</v>
      </c>
      <c r="F103" s="4">
        <v>2000</v>
      </c>
      <c r="G103" s="4">
        <v>10000</v>
      </c>
      <c r="H103" s="2" t="s">
        <v>252</v>
      </c>
      <c r="I103" s="5" t="s">
        <v>409</v>
      </c>
    </row>
    <row r="104" spans="1:9" ht="21.95" customHeight="1" x14ac:dyDescent="0.3">
      <c r="A104">
        <v>18605694</v>
      </c>
      <c r="B104" s="6" t="s">
        <v>77</v>
      </c>
      <c r="C104" s="6" t="s">
        <v>77</v>
      </c>
      <c r="D104" s="6" t="s">
        <v>238</v>
      </c>
      <c r="E104" s="7" t="s">
        <v>239</v>
      </c>
      <c r="F104" s="8">
        <v>0</v>
      </c>
      <c r="G104" s="8">
        <v>3000</v>
      </c>
      <c r="H104" s="6" t="s">
        <v>240</v>
      </c>
      <c r="I104" s="9" t="s">
        <v>410</v>
      </c>
    </row>
    <row r="105" spans="1:9" ht="21.95" customHeight="1" x14ac:dyDescent="0.3">
      <c r="A105">
        <v>8312554</v>
      </c>
      <c r="B105" s="2" t="s">
        <v>78</v>
      </c>
      <c r="C105" s="2" t="s">
        <v>78</v>
      </c>
      <c r="D105" s="2" t="s">
        <v>246</v>
      </c>
      <c r="E105" s="3" t="s">
        <v>247</v>
      </c>
      <c r="F105" s="4">
        <v>0</v>
      </c>
      <c r="G105" s="4">
        <v>0</v>
      </c>
      <c r="H105" s="2" t="s">
        <v>248</v>
      </c>
      <c r="I105" s="5" t="s">
        <v>411</v>
      </c>
    </row>
    <row r="106" spans="1:9" ht="21.95" customHeight="1" x14ac:dyDescent="0.3">
      <c r="A106">
        <v>7887560</v>
      </c>
      <c r="B106" s="6" t="s">
        <v>79</v>
      </c>
      <c r="C106" s="6" t="s">
        <v>412</v>
      </c>
      <c r="D106" s="6" t="s">
        <v>246</v>
      </c>
      <c r="E106" s="7" t="s">
        <v>247</v>
      </c>
      <c r="F106" s="8">
        <v>0</v>
      </c>
      <c r="G106" s="8">
        <v>0</v>
      </c>
      <c r="H106" s="6" t="s">
        <v>248</v>
      </c>
      <c r="I106" s="9" t="s">
        <v>413</v>
      </c>
    </row>
    <row r="107" spans="1:9" ht="21.95" customHeight="1" x14ac:dyDescent="0.3">
      <c r="A107">
        <v>8316285</v>
      </c>
      <c r="B107" s="2" t="s">
        <v>80</v>
      </c>
      <c r="C107" s="2" t="s">
        <v>414</v>
      </c>
      <c r="D107" s="2" t="s">
        <v>266</v>
      </c>
      <c r="E107" s="3" t="s">
        <v>316</v>
      </c>
      <c r="F107" s="4">
        <v>1000</v>
      </c>
      <c r="G107" s="4">
        <v>5000</v>
      </c>
      <c r="H107" s="2" t="s">
        <v>268</v>
      </c>
      <c r="I107" s="5" t="s">
        <v>415</v>
      </c>
    </row>
    <row r="108" spans="1:9" ht="21.95" customHeight="1" x14ac:dyDescent="0.3">
      <c r="A108">
        <v>20752352</v>
      </c>
      <c r="B108" s="6" t="s">
        <v>416</v>
      </c>
      <c r="C108" s="6" t="s">
        <v>416</v>
      </c>
      <c r="D108" s="6" t="s">
        <v>285</v>
      </c>
      <c r="E108" s="7" t="s">
        <v>361</v>
      </c>
      <c r="F108" s="8">
        <v>10000</v>
      </c>
      <c r="G108" s="8">
        <v>35000</v>
      </c>
      <c r="H108" s="6" t="s">
        <v>287</v>
      </c>
      <c r="I108" s="9" t="s">
        <v>417</v>
      </c>
    </row>
    <row r="109" spans="1:9" ht="21.95" customHeight="1" x14ac:dyDescent="0.3">
      <c r="A109">
        <v>11065471</v>
      </c>
      <c r="B109" s="2" t="s">
        <v>81</v>
      </c>
      <c r="C109" s="2" t="s">
        <v>81</v>
      </c>
      <c r="D109" s="2" t="s">
        <v>246</v>
      </c>
      <c r="E109" s="3" t="s">
        <v>291</v>
      </c>
      <c r="F109" s="4">
        <v>0</v>
      </c>
      <c r="G109" s="4">
        <v>0</v>
      </c>
      <c r="H109" s="2" t="s">
        <v>248</v>
      </c>
      <c r="I109" s="5" t="s">
        <v>418</v>
      </c>
    </row>
    <row r="110" spans="1:9" ht="21.95" customHeight="1" x14ac:dyDescent="0.3">
      <c r="A110">
        <v>1905804128</v>
      </c>
      <c r="B110" s="6" t="s">
        <v>82</v>
      </c>
      <c r="C110" s="6" t="s">
        <v>82</v>
      </c>
      <c r="D110" s="6" t="s">
        <v>246</v>
      </c>
      <c r="E110" s="7" t="s">
        <v>255</v>
      </c>
      <c r="F110" s="8">
        <v>0</v>
      </c>
      <c r="G110" s="8">
        <v>0</v>
      </c>
      <c r="H110" s="6" t="s">
        <v>248</v>
      </c>
      <c r="I110" s="9" t="s">
        <v>419</v>
      </c>
    </row>
    <row r="111" spans="1:9" ht="21.95" customHeight="1" x14ac:dyDescent="0.3">
      <c r="A111">
        <v>1427819338</v>
      </c>
      <c r="B111" s="2" t="s">
        <v>83</v>
      </c>
      <c r="C111" s="2" t="s">
        <v>83</v>
      </c>
      <c r="D111" s="2" t="s">
        <v>285</v>
      </c>
      <c r="E111" s="3" t="s">
        <v>420</v>
      </c>
      <c r="F111" s="4">
        <v>10000</v>
      </c>
      <c r="G111" s="4">
        <v>35000</v>
      </c>
      <c r="H111" s="2" t="s">
        <v>287</v>
      </c>
      <c r="I111" s="5" t="s">
        <v>421</v>
      </c>
    </row>
    <row r="112" spans="1:9" ht="21.95" customHeight="1" x14ac:dyDescent="0.3">
      <c r="A112">
        <v>26334065</v>
      </c>
      <c r="B112" s="6" t="s">
        <v>422</v>
      </c>
      <c r="C112" s="6" t="s">
        <v>422</v>
      </c>
      <c r="D112" s="6" t="s">
        <v>246</v>
      </c>
      <c r="E112" s="7" t="s">
        <v>291</v>
      </c>
      <c r="F112" s="8">
        <v>0</v>
      </c>
      <c r="G112" s="8">
        <v>0</v>
      </c>
      <c r="H112" s="6" t="s">
        <v>248</v>
      </c>
      <c r="I112" s="9" t="s">
        <v>423</v>
      </c>
    </row>
    <row r="113" spans="1:9" ht="21.95" customHeight="1" x14ac:dyDescent="0.3">
      <c r="A113">
        <v>15280358</v>
      </c>
      <c r="B113" s="2" t="s">
        <v>84</v>
      </c>
      <c r="C113" s="2" t="s">
        <v>84</v>
      </c>
      <c r="D113" s="2" t="s">
        <v>250</v>
      </c>
      <c r="E113" s="3" t="s">
        <v>251</v>
      </c>
      <c r="F113" s="4">
        <v>2000</v>
      </c>
      <c r="G113" s="4">
        <v>10000</v>
      </c>
      <c r="H113" s="2" t="s">
        <v>252</v>
      </c>
      <c r="I113" s="5" t="s">
        <v>424</v>
      </c>
    </row>
    <row r="114" spans="1:9" ht="21.95" customHeight="1" x14ac:dyDescent="0.3">
      <c r="A114">
        <v>17305177</v>
      </c>
      <c r="B114" s="6" t="s">
        <v>85</v>
      </c>
      <c r="C114" s="6" t="s">
        <v>85</v>
      </c>
      <c r="D114" s="6" t="s">
        <v>250</v>
      </c>
      <c r="E114" s="7" t="s">
        <v>308</v>
      </c>
      <c r="F114" s="8">
        <v>2000</v>
      </c>
      <c r="G114" s="8">
        <v>10000</v>
      </c>
      <c r="H114" s="6" t="s">
        <v>252</v>
      </c>
      <c r="I114" s="9" t="s">
        <v>425</v>
      </c>
    </row>
    <row r="115" spans="1:9" ht="21.95" customHeight="1" x14ac:dyDescent="0.3">
      <c r="A115">
        <v>21054698</v>
      </c>
      <c r="B115" s="2" t="s">
        <v>86</v>
      </c>
      <c r="C115" s="2" t="s">
        <v>86</v>
      </c>
      <c r="D115" s="2" t="s">
        <v>297</v>
      </c>
      <c r="E115" s="3" t="s">
        <v>298</v>
      </c>
      <c r="F115" s="4">
        <v>0</v>
      </c>
      <c r="G115" s="4">
        <v>0</v>
      </c>
      <c r="H115" s="2" t="s">
        <v>299</v>
      </c>
      <c r="I115" s="5" t="s">
        <v>426</v>
      </c>
    </row>
    <row r="116" spans="1:9" ht="21.95" customHeight="1" x14ac:dyDescent="0.3">
      <c r="A116">
        <v>11057558</v>
      </c>
      <c r="B116" s="6" t="s">
        <v>87</v>
      </c>
      <c r="C116" s="6" t="s">
        <v>87</v>
      </c>
      <c r="D116" s="6" t="s">
        <v>246</v>
      </c>
      <c r="E116" s="7" t="s">
        <v>255</v>
      </c>
      <c r="F116" s="8">
        <v>0</v>
      </c>
      <c r="G116" s="8">
        <v>0</v>
      </c>
      <c r="H116" s="6" t="s">
        <v>248</v>
      </c>
      <c r="I116" s="9" t="s">
        <v>427</v>
      </c>
    </row>
    <row r="117" spans="1:9" ht="21.95" customHeight="1" x14ac:dyDescent="0.3">
      <c r="A117">
        <v>18525008</v>
      </c>
      <c r="B117" s="2" t="s">
        <v>88</v>
      </c>
      <c r="C117" s="2" t="s">
        <v>88</v>
      </c>
      <c r="D117" s="2" t="s">
        <v>246</v>
      </c>
      <c r="E117" s="3" t="s">
        <v>255</v>
      </c>
      <c r="F117" s="4">
        <v>0</v>
      </c>
      <c r="G117" s="4">
        <v>0</v>
      </c>
      <c r="H117" s="2" t="s">
        <v>248</v>
      </c>
      <c r="I117" s="5" t="s">
        <v>428</v>
      </c>
    </row>
    <row r="118" spans="1:9" ht="21.95" customHeight="1" x14ac:dyDescent="0.3">
      <c r="A118">
        <v>1488661422</v>
      </c>
      <c r="B118" s="6" t="s">
        <v>429</v>
      </c>
      <c r="C118" s="6" t="s">
        <v>429</v>
      </c>
      <c r="D118" s="6" t="s">
        <v>250</v>
      </c>
      <c r="E118" s="7" t="s">
        <v>251</v>
      </c>
      <c r="F118" s="8">
        <v>2000</v>
      </c>
      <c r="G118" s="8">
        <v>10000</v>
      </c>
      <c r="H118" s="6" t="s">
        <v>252</v>
      </c>
      <c r="I118" s="9" t="s">
        <v>430</v>
      </c>
    </row>
    <row r="119" spans="1:9" ht="21.95" customHeight="1" x14ac:dyDescent="0.3">
      <c r="A119">
        <v>8397226</v>
      </c>
      <c r="B119" s="2" t="s">
        <v>431</v>
      </c>
      <c r="C119" s="2" t="s">
        <v>431</v>
      </c>
      <c r="D119" s="2" t="s">
        <v>246</v>
      </c>
      <c r="E119" s="3" t="s">
        <v>247</v>
      </c>
      <c r="F119" s="4">
        <v>0</v>
      </c>
      <c r="G119" s="4">
        <v>0</v>
      </c>
      <c r="H119" s="2" t="s">
        <v>248</v>
      </c>
      <c r="I119" s="5" t="s">
        <v>432</v>
      </c>
    </row>
    <row r="120" spans="1:9" ht="21.95" customHeight="1" x14ac:dyDescent="0.3">
      <c r="A120">
        <v>885587366</v>
      </c>
      <c r="B120" s="6" t="s">
        <v>433</v>
      </c>
      <c r="C120" s="6" t="s">
        <v>433</v>
      </c>
      <c r="D120" s="6" t="s">
        <v>246</v>
      </c>
      <c r="E120" s="7" t="s">
        <v>255</v>
      </c>
      <c r="F120" s="8">
        <v>0</v>
      </c>
      <c r="G120" s="8">
        <v>0</v>
      </c>
      <c r="H120" s="6" t="s">
        <v>248</v>
      </c>
      <c r="I120" s="9" t="s">
        <v>434</v>
      </c>
    </row>
    <row r="121" spans="1:9" ht="21.95" customHeight="1" x14ac:dyDescent="0.3">
      <c r="A121">
        <v>27383477</v>
      </c>
      <c r="B121" s="2" t="s">
        <v>435</v>
      </c>
      <c r="C121" s="2" t="s">
        <v>435</v>
      </c>
      <c r="D121" s="2" t="s">
        <v>250</v>
      </c>
      <c r="E121" s="3" t="s">
        <v>251</v>
      </c>
      <c r="F121" s="4">
        <v>2000</v>
      </c>
      <c r="G121" s="4">
        <v>10000</v>
      </c>
      <c r="H121" s="2" t="s">
        <v>252</v>
      </c>
      <c r="I121" s="5" t="s">
        <v>436</v>
      </c>
    </row>
    <row r="122" spans="1:9" ht="21.95" customHeight="1" x14ac:dyDescent="0.3">
      <c r="A122">
        <v>1986449214</v>
      </c>
      <c r="B122" s="6" t="s">
        <v>89</v>
      </c>
      <c r="C122" s="6" t="s">
        <v>437</v>
      </c>
      <c r="D122" s="6" t="s">
        <v>246</v>
      </c>
      <c r="E122" s="7" t="s">
        <v>255</v>
      </c>
      <c r="F122" s="8">
        <v>0</v>
      </c>
      <c r="G122" s="8">
        <v>0</v>
      </c>
      <c r="H122" s="6" t="s">
        <v>248</v>
      </c>
      <c r="I122" s="9" t="s">
        <v>438</v>
      </c>
    </row>
    <row r="123" spans="1:9" ht="21.95" customHeight="1" x14ac:dyDescent="0.3">
      <c r="A123">
        <v>1400300682</v>
      </c>
      <c r="B123" s="2" t="s">
        <v>439</v>
      </c>
      <c r="C123" s="2" t="s">
        <v>440</v>
      </c>
      <c r="D123" s="2" t="s">
        <v>246</v>
      </c>
      <c r="E123" s="3" t="s">
        <v>255</v>
      </c>
      <c r="F123" s="4">
        <v>0</v>
      </c>
      <c r="G123" s="4">
        <v>0</v>
      </c>
      <c r="H123" s="2" t="s">
        <v>248</v>
      </c>
      <c r="I123" s="5" t="s">
        <v>441</v>
      </c>
    </row>
    <row r="124" spans="1:9" ht="21.95" customHeight="1" x14ac:dyDescent="0.3">
      <c r="A124">
        <v>1116662553</v>
      </c>
      <c r="B124" s="6" t="s">
        <v>442</v>
      </c>
      <c r="C124" s="6" t="s">
        <v>442</v>
      </c>
      <c r="D124" s="6" t="s">
        <v>246</v>
      </c>
      <c r="E124" s="7" t="s">
        <v>247</v>
      </c>
      <c r="F124" s="8">
        <v>0</v>
      </c>
      <c r="G124" s="8">
        <v>0</v>
      </c>
      <c r="H124" s="6" t="s">
        <v>248</v>
      </c>
      <c r="I124" s="9" t="s">
        <v>443</v>
      </c>
    </row>
    <row r="125" spans="1:9" ht="21.95" customHeight="1" x14ac:dyDescent="0.3">
      <c r="A125">
        <v>7926947</v>
      </c>
      <c r="B125" s="2" t="s">
        <v>90</v>
      </c>
      <c r="C125" s="2" t="s">
        <v>444</v>
      </c>
      <c r="D125" s="2" t="s">
        <v>266</v>
      </c>
      <c r="E125" s="3" t="s">
        <v>316</v>
      </c>
      <c r="F125" s="4">
        <v>1000</v>
      </c>
      <c r="G125" s="4">
        <v>5000</v>
      </c>
      <c r="H125" s="2" t="s">
        <v>268</v>
      </c>
      <c r="I125" s="5" t="s">
        <v>445</v>
      </c>
    </row>
    <row r="126" spans="1:9" ht="21.95" customHeight="1" x14ac:dyDescent="0.3">
      <c r="A126">
        <v>26952943</v>
      </c>
      <c r="B126" s="6" t="s">
        <v>91</v>
      </c>
      <c r="C126" s="6" t="s">
        <v>91</v>
      </c>
      <c r="D126" s="6" t="s">
        <v>246</v>
      </c>
      <c r="E126" s="7" t="s">
        <v>255</v>
      </c>
      <c r="F126" s="8">
        <v>0</v>
      </c>
      <c r="G126" s="8">
        <v>0</v>
      </c>
      <c r="H126" s="6" t="s">
        <v>248</v>
      </c>
      <c r="I126" s="9" t="s">
        <v>446</v>
      </c>
    </row>
    <row r="127" spans="1:9" ht="21.95" customHeight="1" x14ac:dyDescent="0.3">
      <c r="A127">
        <v>8391208</v>
      </c>
      <c r="B127" s="2" t="s">
        <v>447</v>
      </c>
      <c r="C127" s="2" t="s">
        <v>447</v>
      </c>
      <c r="D127" s="2" t="s">
        <v>246</v>
      </c>
      <c r="E127" s="3" t="s">
        <v>255</v>
      </c>
      <c r="F127" s="4">
        <v>0</v>
      </c>
      <c r="G127" s="4">
        <v>0</v>
      </c>
      <c r="H127" s="2" t="s">
        <v>248</v>
      </c>
      <c r="I127" s="5" t="s">
        <v>448</v>
      </c>
    </row>
    <row r="128" spans="1:9" ht="21.95" customHeight="1" x14ac:dyDescent="0.3">
      <c r="A128">
        <v>8305401</v>
      </c>
      <c r="B128" s="6" t="s">
        <v>92</v>
      </c>
      <c r="C128" s="6" t="s">
        <v>92</v>
      </c>
      <c r="D128" s="6" t="s">
        <v>242</v>
      </c>
      <c r="E128" s="7" t="s">
        <v>351</v>
      </c>
      <c r="F128" s="8">
        <v>8000</v>
      </c>
      <c r="G128" s="8">
        <v>20000</v>
      </c>
      <c r="H128" s="6" t="s">
        <v>243</v>
      </c>
      <c r="I128" s="9" t="s">
        <v>449</v>
      </c>
    </row>
    <row r="129" spans="1:9" ht="21.95" customHeight="1" x14ac:dyDescent="0.3">
      <c r="A129">
        <v>1596846771</v>
      </c>
      <c r="B129" s="2" t="s">
        <v>450</v>
      </c>
      <c r="C129" s="2" t="s">
        <v>450</v>
      </c>
      <c r="D129" s="2" t="s">
        <v>246</v>
      </c>
      <c r="E129" s="3" t="s">
        <v>247</v>
      </c>
      <c r="F129" s="4">
        <v>0</v>
      </c>
      <c r="G129" s="4">
        <v>0</v>
      </c>
      <c r="H129" s="2" t="s">
        <v>248</v>
      </c>
      <c r="I129" s="5" t="s">
        <v>451</v>
      </c>
    </row>
    <row r="130" spans="1:9" ht="21.95" customHeight="1" x14ac:dyDescent="0.3">
      <c r="A130">
        <v>20495123</v>
      </c>
      <c r="B130" s="6" t="s">
        <v>93</v>
      </c>
      <c r="C130" s="6" t="s">
        <v>93</v>
      </c>
      <c r="D130" s="6" t="s">
        <v>246</v>
      </c>
      <c r="E130" s="7" t="s">
        <v>255</v>
      </c>
      <c r="F130" s="8">
        <v>0</v>
      </c>
      <c r="G130" s="8">
        <v>0</v>
      </c>
      <c r="H130" s="6" t="s">
        <v>248</v>
      </c>
      <c r="I130" s="9" t="s">
        <v>452</v>
      </c>
    </row>
    <row r="131" spans="1:9" ht="21.95" customHeight="1" x14ac:dyDescent="0.3">
      <c r="A131">
        <v>8388351</v>
      </c>
      <c r="B131" s="2" t="s">
        <v>94</v>
      </c>
      <c r="C131" s="2" t="s">
        <v>94</v>
      </c>
      <c r="D131" s="2" t="s">
        <v>246</v>
      </c>
      <c r="E131" s="3" t="s">
        <v>255</v>
      </c>
      <c r="F131" s="4">
        <v>0</v>
      </c>
      <c r="G131" s="4">
        <v>0</v>
      </c>
      <c r="H131" s="2" t="s">
        <v>248</v>
      </c>
      <c r="I131" s="5" t="s">
        <v>453</v>
      </c>
    </row>
    <row r="132" spans="1:9" ht="21.95" customHeight="1" x14ac:dyDescent="0.3">
      <c r="A132">
        <v>7935331</v>
      </c>
      <c r="B132" s="6" t="s">
        <v>95</v>
      </c>
      <c r="C132" s="6" t="s">
        <v>95</v>
      </c>
      <c r="D132" s="6" t="s">
        <v>246</v>
      </c>
      <c r="E132" s="7" t="s">
        <v>255</v>
      </c>
      <c r="F132" s="8">
        <v>0</v>
      </c>
      <c r="G132" s="8">
        <v>0</v>
      </c>
      <c r="H132" s="6" t="s">
        <v>248</v>
      </c>
      <c r="I132" s="9" t="s">
        <v>454</v>
      </c>
    </row>
    <row r="133" spans="1:9" ht="21.95" customHeight="1" x14ac:dyDescent="0.3">
      <c r="A133">
        <v>1832162456</v>
      </c>
      <c r="B133" s="2" t="s">
        <v>96</v>
      </c>
      <c r="C133" s="2" t="s">
        <v>96</v>
      </c>
      <c r="D133" s="2" t="s">
        <v>285</v>
      </c>
      <c r="E133" s="3" t="s">
        <v>420</v>
      </c>
      <c r="F133" s="4">
        <v>10000</v>
      </c>
      <c r="G133" s="4">
        <v>35000</v>
      </c>
      <c r="H133" s="2" t="s">
        <v>287</v>
      </c>
      <c r="I133" s="5" t="s">
        <v>455</v>
      </c>
    </row>
    <row r="134" spans="1:9" ht="21.95" customHeight="1" x14ac:dyDescent="0.3">
      <c r="A134">
        <v>153613586</v>
      </c>
      <c r="B134" s="6" t="s">
        <v>97</v>
      </c>
      <c r="C134" s="6" t="s">
        <v>97</v>
      </c>
      <c r="D134" s="6" t="s">
        <v>285</v>
      </c>
      <c r="E134" s="7" t="s">
        <v>420</v>
      </c>
      <c r="F134" s="8">
        <v>10000</v>
      </c>
      <c r="G134" s="8">
        <v>35000</v>
      </c>
      <c r="H134" s="6" t="s">
        <v>287</v>
      </c>
      <c r="I134" s="9" t="s">
        <v>456</v>
      </c>
    </row>
    <row r="135" spans="1:9" ht="21.95" customHeight="1" x14ac:dyDescent="0.3">
      <c r="A135">
        <v>19881841</v>
      </c>
      <c r="B135" s="2" t="s">
        <v>98</v>
      </c>
      <c r="C135" s="2" t="s">
        <v>98</v>
      </c>
      <c r="D135" s="2" t="s">
        <v>246</v>
      </c>
      <c r="E135" s="3" t="s">
        <v>247</v>
      </c>
      <c r="F135" s="4">
        <v>0</v>
      </c>
      <c r="G135" s="4">
        <v>0</v>
      </c>
      <c r="H135" s="2" t="s">
        <v>248</v>
      </c>
      <c r="I135" s="5" t="s">
        <v>457</v>
      </c>
    </row>
    <row r="136" spans="1:9" ht="21.95" customHeight="1" x14ac:dyDescent="0.3">
      <c r="A136">
        <v>853690564</v>
      </c>
      <c r="B136" s="6" t="s">
        <v>458</v>
      </c>
      <c r="C136" s="6" t="s">
        <v>459</v>
      </c>
      <c r="D136" s="6" t="s">
        <v>246</v>
      </c>
      <c r="E136" s="7" t="s">
        <v>247</v>
      </c>
      <c r="F136" s="8">
        <v>0</v>
      </c>
      <c r="G136" s="8">
        <v>0</v>
      </c>
      <c r="H136" s="6" t="s">
        <v>248</v>
      </c>
      <c r="I136" s="9" t="s">
        <v>460</v>
      </c>
    </row>
    <row r="137" spans="1:9" ht="21.95" customHeight="1" x14ac:dyDescent="0.3">
      <c r="A137">
        <v>984257114</v>
      </c>
      <c r="B137" s="2" t="s">
        <v>304</v>
      </c>
      <c r="C137" s="2" t="s">
        <v>304</v>
      </c>
      <c r="D137" s="2" t="s">
        <v>246</v>
      </c>
      <c r="E137" s="3" t="s">
        <v>247</v>
      </c>
      <c r="F137" s="4">
        <v>0</v>
      </c>
      <c r="G137" s="4">
        <v>0</v>
      </c>
      <c r="H137" s="2" t="s">
        <v>248</v>
      </c>
      <c r="I137" s="5" t="s">
        <v>305</v>
      </c>
    </row>
    <row r="138" spans="1:9" ht="21.95" customHeight="1" x14ac:dyDescent="0.3">
      <c r="A138">
        <v>26911134</v>
      </c>
      <c r="B138" s="6" t="s">
        <v>99</v>
      </c>
      <c r="C138" s="6" t="s">
        <v>99</v>
      </c>
      <c r="D138" s="6" t="s">
        <v>246</v>
      </c>
      <c r="E138" s="7" t="s">
        <v>247</v>
      </c>
      <c r="F138" s="8">
        <v>0</v>
      </c>
      <c r="G138" s="8">
        <v>0</v>
      </c>
      <c r="H138" s="6" t="s">
        <v>248</v>
      </c>
      <c r="I138" s="9" t="s">
        <v>461</v>
      </c>
    </row>
    <row r="139" spans="1:9" ht="21.95" customHeight="1" x14ac:dyDescent="0.3">
      <c r="A139">
        <v>7951458</v>
      </c>
      <c r="B139" s="2" t="s">
        <v>100</v>
      </c>
      <c r="C139" s="2" t="s">
        <v>100</v>
      </c>
      <c r="D139" s="2" t="s">
        <v>250</v>
      </c>
      <c r="E139" s="3" t="s">
        <v>251</v>
      </c>
      <c r="F139" s="4">
        <v>2000</v>
      </c>
      <c r="G139" s="4">
        <v>10000</v>
      </c>
      <c r="H139" s="2" t="s">
        <v>252</v>
      </c>
      <c r="I139" s="5" t="s">
        <v>462</v>
      </c>
    </row>
    <row r="140" spans="1:9" ht="21.95" customHeight="1" x14ac:dyDescent="0.3">
      <c r="A140">
        <v>27002081</v>
      </c>
      <c r="B140" s="6" t="s">
        <v>101</v>
      </c>
      <c r="C140" s="6" t="s">
        <v>101</v>
      </c>
      <c r="D140" s="6" t="s">
        <v>246</v>
      </c>
      <c r="E140" s="7" t="s">
        <v>247</v>
      </c>
      <c r="F140" s="8">
        <v>0</v>
      </c>
      <c r="G140" s="8">
        <v>0</v>
      </c>
      <c r="H140" s="6" t="s">
        <v>248</v>
      </c>
      <c r="I140" s="9" t="s">
        <v>463</v>
      </c>
    </row>
    <row r="141" spans="1:9" ht="21.95" customHeight="1" x14ac:dyDescent="0.3">
      <c r="B141" s="2" t="s">
        <v>464</v>
      </c>
      <c r="C141" s="2"/>
      <c r="D141" s="2" t="s">
        <v>297</v>
      </c>
      <c r="E141" s="3" t="s">
        <v>298</v>
      </c>
      <c r="F141" s="4">
        <v>0</v>
      </c>
      <c r="G141" s="4">
        <v>0</v>
      </c>
      <c r="H141" s="2" t="s">
        <v>299</v>
      </c>
      <c r="I141" s="5"/>
    </row>
    <row r="142" spans="1:9" ht="21.95" customHeight="1" x14ac:dyDescent="0.3">
      <c r="A142">
        <v>21764909</v>
      </c>
      <c r="B142" s="6" t="s">
        <v>102</v>
      </c>
      <c r="C142" s="6" t="s">
        <v>102</v>
      </c>
      <c r="D142" s="6" t="s">
        <v>246</v>
      </c>
      <c r="E142" s="7" t="s">
        <v>255</v>
      </c>
      <c r="F142" s="8">
        <v>0</v>
      </c>
      <c r="G142" s="8">
        <v>0</v>
      </c>
      <c r="H142" s="6" t="s">
        <v>248</v>
      </c>
      <c r="I142" s="9" t="s">
        <v>465</v>
      </c>
    </row>
    <row r="143" spans="1:9" ht="21.95" customHeight="1" x14ac:dyDescent="0.3">
      <c r="A143">
        <v>24414762</v>
      </c>
      <c r="B143" s="2" t="s">
        <v>103</v>
      </c>
      <c r="C143" s="2" t="s">
        <v>466</v>
      </c>
      <c r="D143" s="2" t="s">
        <v>246</v>
      </c>
      <c r="E143" s="3" t="s">
        <v>255</v>
      </c>
      <c r="F143" s="4">
        <v>0</v>
      </c>
      <c r="G143" s="4">
        <v>0</v>
      </c>
      <c r="H143" s="2" t="s">
        <v>248</v>
      </c>
      <c r="I143" s="5" t="s">
        <v>467</v>
      </c>
    </row>
    <row r="144" spans="1:9" ht="21.95" customHeight="1" x14ac:dyDescent="0.3">
      <c r="A144">
        <v>8376588</v>
      </c>
      <c r="B144" s="6" t="s">
        <v>104</v>
      </c>
      <c r="C144" s="6" t="s">
        <v>104</v>
      </c>
      <c r="D144" s="6" t="s">
        <v>246</v>
      </c>
      <c r="E144" s="7" t="s">
        <v>255</v>
      </c>
      <c r="F144" s="8">
        <v>0</v>
      </c>
      <c r="G144" s="8">
        <v>0</v>
      </c>
      <c r="H144" s="6" t="s">
        <v>248</v>
      </c>
      <c r="I144" s="9" t="s">
        <v>468</v>
      </c>
    </row>
    <row r="145" spans="1:9" ht="21.95" customHeight="1" x14ac:dyDescent="0.3">
      <c r="A145">
        <v>118414704</v>
      </c>
      <c r="B145" s="2" t="s">
        <v>105</v>
      </c>
      <c r="C145" s="2" t="s">
        <v>105</v>
      </c>
      <c r="D145" s="2" t="s">
        <v>246</v>
      </c>
      <c r="E145" s="3" t="s">
        <v>247</v>
      </c>
      <c r="F145" s="4">
        <v>0</v>
      </c>
      <c r="G145" s="4">
        <v>0</v>
      </c>
      <c r="H145" s="2" t="s">
        <v>248</v>
      </c>
      <c r="I145" s="5" t="s">
        <v>469</v>
      </c>
    </row>
    <row r="146" spans="1:9" ht="21.95" customHeight="1" x14ac:dyDescent="0.3">
      <c r="A146">
        <v>1088147159</v>
      </c>
      <c r="B146" s="6" t="s">
        <v>106</v>
      </c>
      <c r="C146" s="6" t="s">
        <v>106</v>
      </c>
      <c r="D146" s="6" t="s">
        <v>246</v>
      </c>
      <c r="E146" s="7" t="s">
        <v>255</v>
      </c>
      <c r="F146" s="8">
        <v>0</v>
      </c>
      <c r="G146" s="8">
        <v>0</v>
      </c>
      <c r="H146" s="6" t="s">
        <v>248</v>
      </c>
      <c r="I146" s="9" t="s">
        <v>470</v>
      </c>
    </row>
    <row r="147" spans="1:9" ht="21.95" customHeight="1" x14ac:dyDescent="0.3">
      <c r="A147">
        <v>24662303</v>
      </c>
      <c r="B147" s="2" t="s">
        <v>471</v>
      </c>
      <c r="C147" s="2" t="s">
        <v>472</v>
      </c>
      <c r="D147" s="2" t="s">
        <v>246</v>
      </c>
      <c r="E147" s="3" t="s">
        <v>247</v>
      </c>
      <c r="F147" s="4">
        <v>0</v>
      </c>
      <c r="G147" s="4">
        <v>0</v>
      </c>
      <c r="H147" s="2" t="s">
        <v>248</v>
      </c>
      <c r="I147" s="5" t="s">
        <v>473</v>
      </c>
    </row>
    <row r="148" spans="1:9" ht="21.95" customHeight="1" x14ac:dyDescent="0.3">
      <c r="A148">
        <v>1323084049</v>
      </c>
      <c r="B148" s="6" t="s">
        <v>474</v>
      </c>
      <c r="C148" s="6" t="s">
        <v>475</v>
      </c>
      <c r="D148" s="6" t="s">
        <v>250</v>
      </c>
      <c r="E148" s="7" t="s">
        <v>308</v>
      </c>
      <c r="F148" s="8">
        <v>2000</v>
      </c>
      <c r="G148" s="8">
        <v>10000</v>
      </c>
      <c r="H148" s="6" t="s">
        <v>252</v>
      </c>
      <c r="I148" s="9" t="s">
        <v>476</v>
      </c>
    </row>
    <row r="149" spans="1:9" ht="21.95" customHeight="1" x14ac:dyDescent="0.3">
      <c r="A149">
        <v>26919839</v>
      </c>
      <c r="B149" s="2" t="s">
        <v>107</v>
      </c>
      <c r="C149" s="2" t="s">
        <v>107</v>
      </c>
      <c r="D149" s="2" t="s">
        <v>246</v>
      </c>
      <c r="E149" s="3" t="s">
        <v>255</v>
      </c>
      <c r="F149" s="4">
        <v>0</v>
      </c>
      <c r="G149" s="4">
        <v>0</v>
      </c>
      <c r="H149" s="2" t="s">
        <v>248</v>
      </c>
      <c r="I149" s="5" t="s">
        <v>477</v>
      </c>
    </row>
    <row r="150" spans="1:9" ht="21.95" customHeight="1" x14ac:dyDescent="0.3">
      <c r="A150">
        <v>1094955731</v>
      </c>
      <c r="B150" s="6" t="s">
        <v>478</v>
      </c>
      <c r="C150" s="6" t="s">
        <v>478</v>
      </c>
      <c r="D150" s="6" t="s">
        <v>246</v>
      </c>
      <c r="E150" s="7" t="s">
        <v>255</v>
      </c>
      <c r="F150" s="8">
        <v>0</v>
      </c>
      <c r="G150" s="8">
        <v>0</v>
      </c>
      <c r="H150" s="6" t="s">
        <v>248</v>
      </c>
      <c r="I150" s="9" t="s">
        <v>479</v>
      </c>
    </row>
    <row r="151" spans="1:9" ht="21.95" customHeight="1" x14ac:dyDescent="0.3">
      <c r="A151">
        <v>26558408</v>
      </c>
      <c r="B151" s="2" t="s">
        <v>480</v>
      </c>
      <c r="C151" s="2" t="s">
        <v>480</v>
      </c>
      <c r="D151" s="2" t="s">
        <v>246</v>
      </c>
      <c r="E151" s="3" t="s">
        <v>255</v>
      </c>
      <c r="F151" s="4">
        <v>0</v>
      </c>
      <c r="G151" s="4">
        <v>0</v>
      </c>
      <c r="H151" s="2" t="s">
        <v>248</v>
      </c>
      <c r="I151" s="5" t="s">
        <v>481</v>
      </c>
    </row>
    <row r="152" spans="1:9" ht="21.95" customHeight="1" x14ac:dyDescent="0.3">
      <c r="A152">
        <v>26558407</v>
      </c>
      <c r="B152" s="6" t="s">
        <v>482</v>
      </c>
      <c r="C152" s="6" t="s">
        <v>482</v>
      </c>
      <c r="D152" s="6" t="s">
        <v>246</v>
      </c>
      <c r="E152" s="7" t="s">
        <v>255</v>
      </c>
      <c r="F152" s="8">
        <v>0</v>
      </c>
      <c r="G152" s="8">
        <v>0</v>
      </c>
      <c r="H152" s="6" t="s">
        <v>248</v>
      </c>
      <c r="I152" s="9" t="s">
        <v>483</v>
      </c>
    </row>
    <row r="153" spans="1:9" ht="21.95" customHeight="1" x14ac:dyDescent="0.3">
      <c r="A153">
        <v>27460313</v>
      </c>
      <c r="B153" s="2" t="s">
        <v>484</v>
      </c>
      <c r="C153" s="2" t="s">
        <v>484</v>
      </c>
      <c r="D153" s="2" t="s">
        <v>246</v>
      </c>
      <c r="E153" s="3" t="s">
        <v>255</v>
      </c>
      <c r="F153" s="4">
        <v>0</v>
      </c>
      <c r="G153" s="4">
        <v>0</v>
      </c>
      <c r="H153" s="2" t="s">
        <v>248</v>
      </c>
      <c r="I153" s="5" t="s">
        <v>485</v>
      </c>
    </row>
    <row r="154" spans="1:9" ht="21.95" customHeight="1" x14ac:dyDescent="0.3">
      <c r="A154">
        <v>1428165417</v>
      </c>
      <c r="B154" s="6" t="s">
        <v>108</v>
      </c>
      <c r="C154" s="6" t="s">
        <v>108</v>
      </c>
      <c r="D154" s="6" t="s">
        <v>246</v>
      </c>
      <c r="E154" s="7" t="s">
        <v>255</v>
      </c>
      <c r="F154" s="8">
        <v>0</v>
      </c>
      <c r="G154" s="8">
        <v>0</v>
      </c>
      <c r="H154" s="6" t="s">
        <v>248</v>
      </c>
      <c r="I154" s="9" t="s">
        <v>486</v>
      </c>
    </row>
    <row r="155" spans="1:9" ht="21.95" customHeight="1" x14ac:dyDescent="0.3">
      <c r="A155">
        <v>116342044</v>
      </c>
      <c r="B155" s="2" t="s">
        <v>109</v>
      </c>
      <c r="C155" s="2" t="s">
        <v>109</v>
      </c>
      <c r="D155" s="2" t="s">
        <v>285</v>
      </c>
      <c r="E155" s="3" t="s">
        <v>420</v>
      </c>
      <c r="F155" s="4">
        <v>10000</v>
      </c>
      <c r="G155" s="4">
        <v>35000</v>
      </c>
      <c r="H155" s="2" t="s">
        <v>287</v>
      </c>
      <c r="I155" s="5" t="s">
        <v>487</v>
      </c>
    </row>
    <row r="156" spans="1:9" ht="21.95" customHeight="1" x14ac:dyDescent="0.3">
      <c r="A156">
        <v>12797187</v>
      </c>
      <c r="B156" s="6" t="s">
        <v>110</v>
      </c>
      <c r="C156" s="6" t="s">
        <v>110</v>
      </c>
      <c r="D156" s="6" t="s">
        <v>246</v>
      </c>
      <c r="E156" s="7" t="s">
        <v>255</v>
      </c>
      <c r="F156" s="8">
        <v>0</v>
      </c>
      <c r="G156" s="8">
        <v>0</v>
      </c>
      <c r="H156" s="6" t="s">
        <v>248</v>
      </c>
      <c r="I156" s="9" t="s">
        <v>488</v>
      </c>
    </row>
    <row r="157" spans="1:9" ht="21.95" customHeight="1" x14ac:dyDescent="0.3">
      <c r="A157">
        <v>7952590</v>
      </c>
      <c r="B157" s="2" t="s">
        <v>111</v>
      </c>
      <c r="C157" s="2" t="s">
        <v>489</v>
      </c>
      <c r="D157" s="2" t="s">
        <v>246</v>
      </c>
      <c r="E157" s="3" t="s">
        <v>255</v>
      </c>
      <c r="F157" s="4">
        <v>0</v>
      </c>
      <c r="G157" s="4">
        <v>0</v>
      </c>
      <c r="H157" s="2" t="s">
        <v>248</v>
      </c>
      <c r="I157" s="5" t="s">
        <v>490</v>
      </c>
    </row>
    <row r="158" spans="1:9" ht="21.95" customHeight="1" x14ac:dyDescent="0.3">
      <c r="A158">
        <v>9158247</v>
      </c>
      <c r="B158" s="6" t="s">
        <v>491</v>
      </c>
      <c r="C158" s="6" t="s">
        <v>491</v>
      </c>
      <c r="D158" s="6" t="s">
        <v>238</v>
      </c>
      <c r="E158" s="7" t="s">
        <v>239</v>
      </c>
      <c r="F158" s="8">
        <v>0</v>
      </c>
      <c r="G158" s="8">
        <v>3000</v>
      </c>
      <c r="H158" s="6" t="s">
        <v>240</v>
      </c>
      <c r="I158" s="9" t="s">
        <v>492</v>
      </c>
    </row>
    <row r="159" spans="1:9" ht="21.95" customHeight="1" x14ac:dyDescent="0.3">
      <c r="A159">
        <v>280362639</v>
      </c>
      <c r="B159" s="2" t="s">
        <v>493</v>
      </c>
      <c r="C159" s="2" t="s">
        <v>494</v>
      </c>
      <c r="D159" s="2" t="s">
        <v>246</v>
      </c>
      <c r="E159" s="3" t="s">
        <v>247</v>
      </c>
      <c r="F159" s="4">
        <v>0</v>
      </c>
      <c r="G159" s="4">
        <v>0</v>
      </c>
      <c r="H159" s="2" t="s">
        <v>248</v>
      </c>
      <c r="I159" s="5" t="s">
        <v>495</v>
      </c>
    </row>
    <row r="160" spans="1:9" ht="21.95" customHeight="1" x14ac:dyDescent="0.3">
      <c r="A160">
        <v>22099937</v>
      </c>
      <c r="B160" s="6" t="s">
        <v>112</v>
      </c>
      <c r="C160" s="6" t="s">
        <v>112</v>
      </c>
      <c r="D160" s="6" t="s">
        <v>246</v>
      </c>
      <c r="E160" s="7" t="s">
        <v>255</v>
      </c>
      <c r="F160" s="8">
        <v>0</v>
      </c>
      <c r="G160" s="8">
        <v>0</v>
      </c>
      <c r="H160" s="6" t="s">
        <v>248</v>
      </c>
      <c r="I160" s="9" t="s">
        <v>496</v>
      </c>
    </row>
    <row r="161" spans="1:9" ht="21.95" customHeight="1" x14ac:dyDescent="0.3">
      <c r="A161">
        <v>11495472</v>
      </c>
      <c r="B161" s="2" t="s">
        <v>497</v>
      </c>
      <c r="C161" s="2" t="s">
        <v>498</v>
      </c>
      <c r="D161" s="2" t="s">
        <v>246</v>
      </c>
      <c r="E161" s="3" t="s">
        <v>255</v>
      </c>
      <c r="F161" s="4">
        <v>0</v>
      </c>
      <c r="G161" s="4">
        <v>0</v>
      </c>
      <c r="H161" s="2" t="s">
        <v>248</v>
      </c>
      <c r="I161" s="5" t="s">
        <v>499</v>
      </c>
    </row>
    <row r="162" spans="1:9" ht="21.95" customHeight="1" x14ac:dyDescent="0.3">
      <c r="A162">
        <v>17958942</v>
      </c>
      <c r="B162" s="6" t="s">
        <v>113</v>
      </c>
      <c r="C162" s="6" t="s">
        <v>113</v>
      </c>
      <c r="D162" s="6" t="s">
        <v>266</v>
      </c>
      <c r="E162" s="7" t="s">
        <v>316</v>
      </c>
      <c r="F162" s="8">
        <v>1000</v>
      </c>
      <c r="G162" s="8">
        <v>5000</v>
      </c>
      <c r="H162" s="6" t="s">
        <v>268</v>
      </c>
      <c r="I162" s="9" t="s">
        <v>500</v>
      </c>
    </row>
    <row r="163" spans="1:9" ht="21.95" customHeight="1" x14ac:dyDescent="0.3">
      <c r="A163">
        <v>1482807704</v>
      </c>
      <c r="B163" s="2" t="s">
        <v>114</v>
      </c>
      <c r="C163" s="2" t="s">
        <v>501</v>
      </c>
      <c r="D163" s="2" t="s">
        <v>246</v>
      </c>
      <c r="E163" s="3" t="s">
        <v>247</v>
      </c>
      <c r="F163" s="4">
        <v>0</v>
      </c>
      <c r="G163" s="4">
        <v>0</v>
      </c>
      <c r="H163" s="2" t="s">
        <v>248</v>
      </c>
      <c r="I163" s="5" t="s">
        <v>502</v>
      </c>
    </row>
    <row r="164" spans="1:9" ht="21.95" customHeight="1" x14ac:dyDescent="0.3">
      <c r="A164">
        <v>9159196</v>
      </c>
      <c r="B164" s="6" t="s">
        <v>115</v>
      </c>
      <c r="C164" s="6" t="s">
        <v>115</v>
      </c>
      <c r="D164" s="6" t="s">
        <v>250</v>
      </c>
      <c r="E164" s="7" t="s">
        <v>308</v>
      </c>
      <c r="F164" s="8">
        <v>2000</v>
      </c>
      <c r="G164" s="8">
        <v>10000</v>
      </c>
      <c r="H164" s="6" t="s">
        <v>252</v>
      </c>
      <c r="I164" s="9" t="s">
        <v>503</v>
      </c>
    </row>
    <row r="165" spans="1:9" ht="21.95" customHeight="1" x14ac:dyDescent="0.3">
      <c r="A165">
        <v>7993056</v>
      </c>
      <c r="B165" s="2" t="s">
        <v>504</v>
      </c>
      <c r="C165" s="2" t="s">
        <v>504</v>
      </c>
      <c r="D165" s="2" t="s">
        <v>246</v>
      </c>
      <c r="E165" s="3" t="s">
        <v>247</v>
      </c>
      <c r="F165" s="4">
        <v>0</v>
      </c>
      <c r="G165" s="4">
        <v>0</v>
      </c>
      <c r="H165" s="2" t="s">
        <v>248</v>
      </c>
      <c r="I165" s="5" t="s">
        <v>505</v>
      </c>
    </row>
    <row r="166" spans="1:9" ht="21.95" customHeight="1" x14ac:dyDescent="0.3">
      <c r="A166">
        <v>23680795</v>
      </c>
      <c r="B166" s="6" t="s">
        <v>116</v>
      </c>
      <c r="C166" s="6" t="s">
        <v>116</v>
      </c>
      <c r="D166" s="6" t="s">
        <v>246</v>
      </c>
      <c r="E166" s="7" t="s">
        <v>255</v>
      </c>
      <c r="F166" s="8">
        <v>0</v>
      </c>
      <c r="G166" s="8">
        <v>0</v>
      </c>
      <c r="H166" s="6" t="s">
        <v>248</v>
      </c>
      <c r="I166" s="9" t="s">
        <v>506</v>
      </c>
    </row>
    <row r="167" spans="1:9" ht="21.95" customHeight="1" x14ac:dyDescent="0.3">
      <c r="A167">
        <v>10544634</v>
      </c>
      <c r="B167" s="2" t="s">
        <v>117</v>
      </c>
      <c r="C167" s="2" t="s">
        <v>117</v>
      </c>
      <c r="D167" s="2" t="s">
        <v>246</v>
      </c>
      <c r="E167" s="3" t="s">
        <v>291</v>
      </c>
      <c r="F167" s="4">
        <v>0</v>
      </c>
      <c r="G167" s="4">
        <v>0</v>
      </c>
      <c r="H167" s="2" t="s">
        <v>248</v>
      </c>
      <c r="I167" s="5" t="s">
        <v>507</v>
      </c>
    </row>
    <row r="168" spans="1:9" ht="21.95" customHeight="1" x14ac:dyDescent="0.3">
      <c r="A168">
        <v>1205240657</v>
      </c>
      <c r="B168" s="6" t="s">
        <v>118</v>
      </c>
      <c r="C168" s="6" t="s">
        <v>118</v>
      </c>
      <c r="D168" s="6" t="s">
        <v>246</v>
      </c>
      <c r="E168" s="7" t="s">
        <v>255</v>
      </c>
      <c r="F168" s="8">
        <v>0</v>
      </c>
      <c r="G168" s="8">
        <v>0</v>
      </c>
      <c r="H168" s="6" t="s">
        <v>248</v>
      </c>
      <c r="I168" s="9" t="s">
        <v>508</v>
      </c>
    </row>
    <row r="169" spans="1:9" ht="21.95" customHeight="1" x14ac:dyDescent="0.3">
      <c r="A169">
        <v>7967160</v>
      </c>
      <c r="B169" s="2" t="s">
        <v>119</v>
      </c>
      <c r="C169" s="2" t="s">
        <v>119</v>
      </c>
      <c r="D169" s="2" t="s">
        <v>246</v>
      </c>
      <c r="E169" s="3" t="s">
        <v>255</v>
      </c>
      <c r="F169" s="4">
        <v>0</v>
      </c>
      <c r="G169" s="4">
        <v>0</v>
      </c>
      <c r="H169" s="2" t="s">
        <v>248</v>
      </c>
      <c r="I169" s="5" t="s">
        <v>509</v>
      </c>
    </row>
    <row r="170" spans="1:9" ht="21.95" customHeight="1" x14ac:dyDescent="0.3">
      <c r="A170">
        <v>25617721</v>
      </c>
      <c r="B170" s="6" t="s">
        <v>120</v>
      </c>
      <c r="C170" s="6" t="s">
        <v>120</v>
      </c>
      <c r="D170" s="6" t="s">
        <v>246</v>
      </c>
      <c r="E170" s="7" t="s">
        <v>255</v>
      </c>
      <c r="F170" s="8">
        <v>0</v>
      </c>
      <c r="G170" s="8">
        <v>0</v>
      </c>
      <c r="H170" s="6" t="s">
        <v>248</v>
      </c>
      <c r="I170" s="9" t="s">
        <v>510</v>
      </c>
    </row>
    <row r="171" spans="1:9" ht="21.95" customHeight="1" x14ac:dyDescent="0.3">
      <c r="A171">
        <v>8416134</v>
      </c>
      <c r="B171" s="2" t="s">
        <v>121</v>
      </c>
      <c r="C171" s="2" t="s">
        <v>121</v>
      </c>
      <c r="D171" s="2" t="s">
        <v>246</v>
      </c>
      <c r="E171" s="3" t="s">
        <v>255</v>
      </c>
      <c r="F171" s="4">
        <v>0</v>
      </c>
      <c r="G171" s="4">
        <v>0</v>
      </c>
      <c r="H171" s="2" t="s">
        <v>248</v>
      </c>
      <c r="I171" s="5" t="s">
        <v>511</v>
      </c>
    </row>
    <row r="172" spans="1:9" ht="21.95" customHeight="1" x14ac:dyDescent="0.3">
      <c r="A172">
        <v>2115731103</v>
      </c>
      <c r="B172" s="6" t="s">
        <v>122</v>
      </c>
      <c r="C172" s="6" t="s">
        <v>122</v>
      </c>
      <c r="D172" s="6" t="s">
        <v>242</v>
      </c>
      <c r="E172" s="7" t="s">
        <v>512</v>
      </c>
      <c r="F172" s="8">
        <v>8000</v>
      </c>
      <c r="G172" s="8">
        <v>20000</v>
      </c>
      <c r="H172" s="6" t="s">
        <v>243</v>
      </c>
      <c r="I172" s="9" t="s">
        <v>513</v>
      </c>
    </row>
    <row r="173" spans="1:9" ht="21.95" customHeight="1" x14ac:dyDescent="0.3">
      <c r="A173">
        <v>18845042</v>
      </c>
      <c r="B173" s="2" t="s">
        <v>514</v>
      </c>
      <c r="C173" s="2" t="s">
        <v>514</v>
      </c>
      <c r="D173" s="2" t="s">
        <v>285</v>
      </c>
      <c r="E173" s="3" t="s">
        <v>361</v>
      </c>
      <c r="F173" s="4">
        <v>10000</v>
      </c>
      <c r="G173" s="4">
        <v>35000</v>
      </c>
      <c r="H173" s="2" t="s">
        <v>287</v>
      </c>
      <c r="I173" s="5" t="s">
        <v>515</v>
      </c>
    </row>
    <row r="174" spans="1:9" ht="21.95" customHeight="1" x14ac:dyDescent="0.3">
      <c r="A174">
        <v>11951680</v>
      </c>
      <c r="B174" s="6" t="s">
        <v>516</v>
      </c>
      <c r="C174" s="6" t="s">
        <v>516</v>
      </c>
      <c r="D174" s="6" t="s">
        <v>246</v>
      </c>
      <c r="E174" s="7" t="s">
        <v>247</v>
      </c>
      <c r="F174" s="8">
        <v>0</v>
      </c>
      <c r="G174" s="8">
        <v>0</v>
      </c>
      <c r="H174" s="6" t="s">
        <v>248</v>
      </c>
      <c r="I174" s="9" t="s">
        <v>517</v>
      </c>
    </row>
    <row r="175" spans="1:9" ht="21.95" customHeight="1" x14ac:dyDescent="0.3">
      <c r="A175">
        <v>7990660</v>
      </c>
      <c r="B175" s="2" t="s">
        <v>123</v>
      </c>
      <c r="C175" s="2" t="s">
        <v>123</v>
      </c>
      <c r="D175" s="2" t="s">
        <v>246</v>
      </c>
      <c r="E175" s="3" t="s">
        <v>255</v>
      </c>
      <c r="F175" s="4">
        <v>0</v>
      </c>
      <c r="G175" s="4">
        <v>0</v>
      </c>
      <c r="H175" s="2" t="s">
        <v>248</v>
      </c>
      <c r="I175" s="5" t="s">
        <v>518</v>
      </c>
    </row>
    <row r="176" spans="1:9" ht="21.95" customHeight="1" x14ac:dyDescent="0.3">
      <c r="A176">
        <v>1170610387</v>
      </c>
      <c r="B176" s="6" t="s">
        <v>124</v>
      </c>
      <c r="C176" s="6" t="s">
        <v>124</v>
      </c>
      <c r="D176" s="6" t="s">
        <v>246</v>
      </c>
      <c r="E176" s="7" t="s">
        <v>247</v>
      </c>
      <c r="F176" s="8">
        <v>0</v>
      </c>
      <c r="G176" s="8">
        <v>0</v>
      </c>
      <c r="H176" s="6" t="s">
        <v>248</v>
      </c>
      <c r="I176" s="9" t="s">
        <v>519</v>
      </c>
    </row>
    <row r="177" spans="1:9" ht="21.95" customHeight="1" x14ac:dyDescent="0.3">
      <c r="A177">
        <v>1308332525</v>
      </c>
      <c r="B177" s="2" t="s">
        <v>125</v>
      </c>
      <c r="C177" s="2" t="s">
        <v>125</v>
      </c>
      <c r="D177" s="2" t="s">
        <v>242</v>
      </c>
      <c r="E177" s="3" t="s">
        <v>520</v>
      </c>
      <c r="F177" s="4">
        <v>8000</v>
      </c>
      <c r="G177" s="4">
        <v>20000</v>
      </c>
      <c r="H177" s="2" t="s">
        <v>243</v>
      </c>
      <c r="I177" s="5" t="s">
        <v>521</v>
      </c>
    </row>
    <row r="178" spans="1:9" ht="21.95" customHeight="1" x14ac:dyDescent="0.3">
      <c r="A178">
        <v>17573656</v>
      </c>
      <c r="B178" s="6" t="s">
        <v>126</v>
      </c>
      <c r="C178" s="6" t="s">
        <v>126</v>
      </c>
      <c r="D178" s="6" t="s">
        <v>246</v>
      </c>
      <c r="E178" s="7" t="s">
        <v>247</v>
      </c>
      <c r="F178" s="8">
        <v>0</v>
      </c>
      <c r="G178" s="8">
        <v>0</v>
      </c>
      <c r="H178" s="6" t="s">
        <v>248</v>
      </c>
      <c r="I178" s="9" t="s">
        <v>522</v>
      </c>
    </row>
    <row r="179" spans="1:9" ht="21.95" customHeight="1" x14ac:dyDescent="0.3">
      <c r="A179">
        <v>7996267</v>
      </c>
      <c r="B179" s="2" t="s">
        <v>523</v>
      </c>
      <c r="C179" s="2" t="s">
        <v>524</v>
      </c>
      <c r="D179" s="2" t="s">
        <v>250</v>
      </c>
      <c r="E179" s="3" t="s">
        <v>251</v>
      </c>
      <c r="F179" s="4">
        <v>2000</v>
      </c>
      <c r="G179" s="4">
        <v>10000</v>
      </c>
      <c r="H179" s="2" t="s">
        <v>252</v>
      </c>
      <c r="I179" s="5" t="s">
        <v>525</v>
      </c>
    </row>
    <row r="180" spans="1:9" ht="21.95" customHeight="1" x14ac:dyDescent="0.3">
      <c r="A180">
        <v>20126918</v>
      </c>
      <c r="B180" s="6" t="s">
        <v>127</v>
      </c>
      <c r="C180" s="6" t="s">
        <v>526</v>
      </c>
      <c r="D180" s="6" t="s">
        <v>250</v>
      </c>
      <c r="E180" s="7" t="s">
        <v>251</v>
      </c>
      <c r="F180" s="8">
        <v>2000</v>
      </c>
      <c r="G180" s="8">
        <v>10000</v>
      </c>
      <c r="H180" s="6" t="s">
        <v>252</v>
      </c>
      <c r="I180" s="9" t="s">
        <v>527</v>
      </c>
    </row>
    <row r="181" spans="1:9" ht="21.95" customHeight="1" x14ac:dyDescent="0.3">
      <c r="A181">
        <v>11107311</v>
      </c>
      <c r="B181" s="2" t="s">
        <v>128</v>
      </c>
      <c r="C181" s="2" t="s">
        <v>528</v>
      </c>
      <c r="D181" s="2" t="s">
        <v>250</v>
      </c>
      <c r="E181" s="3" t="s">
        <v>251</v>
      </c>
      <c r="F181" s="4">
        <v>2000</v>
      </c>
      <c r="G181" s="4">
        <v>10000</v>
      </c>
      <c r="H181" s="2" t="s">
        <v>252</v>
      </c>
      <c r="I181" s="5" t="s">
        <v>529</v>
      </c>
    </row>
    <row r="182" spans="1:9" ht="21.95" customHeight="1" x14ac:dyDescent="0.3">
      <c r="A182">
        <v>10588483</v>
      </c>
      <c r="B182" s="6" t="s">
        <v>129</v>
      </c>
      <c r="C182" s="6" t="s">
        <v>530</v>
      </c>
      <c r="D182" s="6" t="s">
        <v>246</v>
      </c>
      <c r="E182" s="7" t="s">
        <v>247</v>
      </c>
      <c r="F182" s="8">
        <v>0</v>
      </c>
      <c r="G182" s="8">
        <v>0</v>
      </c>
      <c r="H182" s="6" t="s">
        <v>248</v>
      </c>
      <c r="I182" s="9" t="s">
        <v>531</v>
      </c>
    </row>
    <row r="183" spans="1:9" ht="21.95" customHeight="1" x14ac:dyDescent="0.3">
      <c r="A183">
        <v>1571224337</v>
      </c>
      <c r="B183" s="2" t="s">
        <v>532</v>
      </c>
      <c r="C183" s="2" t="s">
        <v>532</v>
      </c>
      <c r="D183" s="2" t="s">
        <v>266</v>
      </c>
      <c r="E183" s="3" t="s">
        <v>267</v>
      </c>
      <c r="F183" s="4">
        <v>1000</v>
      </c>
      <c r="G183" s="4">
        <v>5000</v>
      </c>
      <c r="H183" s="2" t="s">
        <v>268</v>
      </c>
      <c r="I183" s="5" t="s">
        <v>533</v>
      </c>
    </row>
    <row r="184" spans="1:9" ht="21.95" customHeight="1" x14ac:dyDescent="0.3">
      <c r="A184">
        <v>22893352</v>
      </c>
      <c r="B184" s="6" t="s">
        <v>534</v>
      </c>
      <c r="C184" s="6" t="s">
        <v>534</v>
      </c>
      <c r="D184" s="6" t="s">
        <v>250</v>
      </c>
      <c r="E184" s="7" t="s">
        <v>251</v>
      </c>
      <c r="F184" s="8">
        <v>2000</v>
      </c>
      <c r="G184" s="8">
        <v>10000</v>
      </c>
      <c r="H184" s="6" t="s">
        <v>252</v>
      </c>
      <c r="I184" s="9" t="s">
        <v>535</v>
      </c>
    </row>
    <row r="185" spans="1:9" ht="21.95" customHeight="1" x14ac:dyDescent="0.3">
      <c r="A185">
        <v>9250667</v>
      </c>
      <c r="B185" s="2" t="s">
        <v>130</v>
      </c>
      <c r="C185" s="2" t="s">
        <v>130</v>
      </c>
      <c r="D185" s="2" t="s">
        <v>246</v>
      </c>
      <c r="E185" s="3" t="s">
        <v>255</v>
      </c>
      <c r="F185" s="4">
        <v>0</v>
      </c>
      <c r="G185" s="4">
        <v>0</v>
      </c>
      <c r="H185" s="2" t="s">
        <v>248</v>
      </c>
      <c r="I185" s="5" t="s">
        <v>536</v>
      </c>
    </row>
    <row r="186" spans="1:9" ht="21.95" customHeight="1" x14ac:dyDescent="0.3">
      <c r="A186">
        <v>7996898</v>
      </c>
      <c r="B186" s="6" t="s">
        <v>537</v>
      </c>
      <c r="C186" s="6" t="s">
        <v>537</v>
      </c>
      <c r="D186" s="6" t="s">
        <v>246</v>
      </c>
      <c r="E186" s="7" t="s">
        <v>247</v>
      </c>
      <c r="F186" s="8">
        <v>0</v>
      </c>
      <c r="G186" s="8">
        <v>0</v>
      </c>
      <c r="H186" s="6" t="s">
        <v>248</v>
      </c>
      <c r="I186" s="9" t="s">
        <v>538</v>
      </c>
    </row>
    <row r="187" spans="1:9" ht="21.95" customHeight="1" x14ac:dyDescent="0.3">
      <c r="A187">
        <v>7993554</v>
      </c>
      <c r="B187" s="2" t="s">
        <v>539</v>
      </c>
      <c r="C187" s="2" t="s">
        <v>539</v>
      </c>
      <c r="D187" s="2" t="s">
        <v>246</v>
      </c>
      <c r="E187" s="3" t="s">
        <v>255</v>
      </c>
      <c r="F187" s="4">
        <v>0</v>
      </c>
      <c r="G187" s="4">
        <v>0</v>
      </c>
      <c r="H187" s="2" t="s">
        <v>248</v>
      </c>
      <c r="I187" s="5" t="s">
        <v>540</v>
      </c>
    </row>
    <row r="188" spans="1:9" ht="21.95" customHeight="1" x14ac:dyDescent="0.3">
      <c r="A188">
        <v>1908467624</v>
      </c>
      <c r="B188" s="6" t="s">
        <v>541</v>
      </c>
      <c r="C188" s="6" t="s">
        <v>541</v>
      </c>
      <c r="D188" s="6" t="s">
        <v>246</v>
      </c>
      <c r="E188" s="7" t="s">
        <v>255</v>
      </c>
      <c r="F188" s="8">
        <v>0</v>
      </c>
      <c r="G188" s="8">
        <v>0</v>
      </c>
      <c r="H188" s="6" t="s">
        <v>248</v>
      </c>
      <c r="I188" s="9" t="s">
        <v>542</v>
      </c>
    </row>
    <row r="189" spans="1:9" ht="21.95" customHeight="1" x14ac:dyDescent="0.3">
      <c r="A189">
        <v>1923597801</v>
      </c>
      <c r="B189" s="2" t="s">
        <v>543</v>
      </c>
      <c r="C189" s="2" t="s">
        <v>544</v>
      </c>
      <c r="D189" s="2" t="s">
        <v>246</v>
      </c>
      <c r="E189" s="3" t="s">
        <v>247</v>
      </c>
      <c r="F189" s="4">
        <v>0</v>
      </c>
      <c r="G189" s="4">
        <v>0</v>
      </c>
      <c r="H189" s="2" t="s">
        <v>248</v>
      </c>
      <c r="I189" s="5" t="s">
        <v>545</v>
      </c>
    </row>
    <row r="190" spans="1:9" ht="21.95" customHeight="1" x14ac:dyDescent="0.3">
      <c r="A190">
        <v>7994743</v>
      </c>
      <c r="B190" s="6" t="s">
        <v>546</v>
      </c>
      <c r="C190" s="6" t="s">
        <v>546</v>
      </c>
      <c r="D190" s="6" t="s">
        <v>246</v>
      </c>
      <c r="E190" s="7" t="s">
        <v>255</v>
      </c>
      <c r="F190" s="8">
        <v>0</v>
      </c>
      <c r="G190" s="8">
        <v>0</v>
      </c>
      <c r="H190" s="6" t="s">
        <v>248</v>
      </c>
      <c r="I190" s="9" t="s">
        <v>547</v>
      </c>
    </row>
    <row r="191" spans="1:9" ht="21.95" customHeight="1" x14ac:dyDescent="0.3">
      <c r="A191">
        <v>27351432</v>
      </c>
      <c r="B191" s="2" t="s">
        <v>131</v>
      </c>
      <c r="C191" s="2" t="s">
        <v>131</v>
      </c>
      <c r="D191" s="2" t="s">
        <v>242</v>
      </c>
      <c r="E191" s="3" t="s">
        <v>351</v>
      </c>
      <c r="F191" s="4">
        <v>8000</v>
      </c>
      <c r="G191" s="4">
        <v>20000</v>
      </c>
      <c r="H191" s="2" t="s">
        <v>243</v>
      </c>
      <c r="I191" s="5" t="s">
        <v>548</v>
      </c>
    </row>
    <row r="192" spans="1:9" ht="21.95" customHeight="1" x14ac:dyDescent="0.3">
      <c r="A192">
        <v>25070174</v>
      </c>
      <c r="B192" s="6" t="s">
        <v>132</v>
      </c>
      <c r="C192" s="6" t="s">
        <v>132</v>
      </c>
      <c r="D192" s="6" t="s">
        <v>246</v>
      </c>
      <c r="E192" s="7" t="s">
        <v>247</v>
      </c>
      <c r="F192" s="8">
        <v>0</v>
      </c>
      <c r="G192" s="8">
        <v>0</v>
      </c>
      <c r="H192" s="6" t="s">
        <v>248</v>
      </c>
      <c r="I192" s="9" t="s">
        <v>549</v>
      </c>
    </row>
    <row r="193" spans="1:9" ht="21.95" customHeight="1" x14ac:dyDescent="0.3">
      <c r="A193">
        <v>26325145</v>
      </c>
      <c r="B193" s="2" t="s">
        <v>550</v>
      </c>
      <c r="C193" s="2" t="s">
        <v>550</v>
      </c>
      <c r="D193" s="2" t="s">
        <v>246</v>
      </c>
      <c r="E193" s="3" t="s">
        <v>247</v>
      </c>
      <c r="F193" s="4">
        <v>0</v>
      </c>
      <c r="G193" s="4">
        <v>0</v>
      </c>
      <c r="H193" s="2" t="s">
        <v>248</v>
      </c>
      <c r="I193" s="5" t="s">
        <v>551</v>
      </c>
    </row>
    <row r="194" spans="1:9" ht="21.95" customHeight="1" x14ac:dyDescent="0.3">
      <c r="A194">
        <v>26900893</v>
      </c>
      <c r="B194" s="6" t="s">
        <v>552</v>
      </c>
      <c r="C194" s="6" t="s">
        <v>552</v>
      </c>
      <c r="D194" s="6" t="s">
        <v>246</v>
      </c>
      <c r="E194" s="7" t="s">
        <v>247</v>
      </c>
      <c r="F194" s="8">
        <v>0</v>
      </c>
      <c r="G194" s="8">
        <v>0</v>
      </c>
      <c r="H194" s="6" t="s">
        <v>248</v>
      </c>
      <c r="I194" s="9" t="s">
        <v>553</v>
      </c>
    </row>
    <row r="195" spans="1:9" ht="21.95" customHeight="1" x14ac:dyDescent="0.3">
      <c r="A195">
        <v>18604195</v>
      </c>
      <c r="B195" s="2" t="s">
        <v>554</v>
      </c>
      <c r="C195" s="2" t="s">
        <v>554</v>
      </c>
      <c r="D195" s="2" t="s">
        <v>246</v>
      </c>
      <c r="E195" s="3" t="s">
        <v>247</v>
      </c>
      <c r="F195" s="4">
        <v>0</v>
      </c>
      <c r="G195" s="4">
        <v>0</v>
      </c>
      <c r="H195" s="2" t="s">
        <v>248</v>
      </c>
      <c r="I195" s="5" t="s">
        <v>555</v>
      </c>
    </row>
    <row r="196" spans="1:9" ht="21.95" customHeight="1" x14ac:dyDescent="0.3">
      <c r="A196">
        <v>1907965556</v>
      </c>
      <c r="B196" s="6" t="s">
        <v>133</v>
      </c>
      <c r="C196" s="6" t="s">
        <v>133</v>
      </c>
      <c r="D196" s="6" t="s">
        <v>246</v>
      </c>
      <c r="E196" s="7" t="s">
        <v>247</v>
      </c>
      <c r="F196" s="8">
        <v>0</v>
      </c>
      <c r="G196" s="8">
        <v>0</v>
      </c>
      <c r="H196" s="6" t="s">
        <v>248</v>
      </c>
      <c r="I196" s="9" t="s">
        <v>556</v>
      </c>
    </row>
    <row r="197" spans="1:9" ht="21.95" customHeight="1" x14ac:dyDescent="0.3">
      <c r="A197">
        <v>73062215</v>
      </c>
      <c r="B197" s="2" t="s">
        <v>134</v>
      </c>
      <c r="C197" s="2" t="s">
        <v>134</v>
      </c>
      <c r="D197" s="2" t="s">
        <v>246</v>
      </c>
      <c r="E197" s="3" t="s">
        <v>247</v>
      </c>
      <c r="F197" s="4">
        <v>0</v>
      </c>
      <c r="G197" s="4">
        <v>0</v>
      </c>
      <c r="H197" s="2" t="s">
        <v>248</v>
      </c>
      <c r="I197" s="5" t="s">
        <v>557</v>
      </c>
    </row>
    <row r="198" spans="1:9" ht="21.95" customHeight="1" x14ac:dyDescent="0.3">
      <c r="A198">
        <v>8008145</v>
      </c>
      <c r="B198" s="6" t="s">
        <v>135</v>
      </c>
      <c r="C198" s="6" t="s">
        <v>135</v>
      </c>
      <c r="D198" s="6" t="s">
        <v>246</v>
      </c>
      <c r="E198" s="7" t="s">
        <v>247</v>
      </c>
      <c r="F198" s="8">
        <v>0</v>
      </c>
      <c r="G198" s="8">
        <v>0</v>
      </c>
      <c r="H198" s="6" t="s">
        <v>248</v>
      </c>
      <c r="I198" s="9" t="s">
        <v>558</v>
      </c>
    </row>
    <row r="199" spans="1:9" ht="21.95" customHeight="1" x14ac:dyDescent="0.3">
      <c r="A199">
        <v>1632792413</v>
      </c>
      <c r="B199" s="2" t="s">
        <v>136</v>
      </c>
      <c r="C199" s="2" t="s">
        <v>136</v>
      </c>
      <c r="D199" s="2" t="s">
        <v>246</v>
      </c>
      <c r="E199" s="3" t="s">
        <v>247</v>
      </c>
      <c r="F199" s="4">
        <v>0</v>
      </c>
      <c r="G199" s="4">
        <v>0</v>
      </c>
      <c r="H199" s="2" t="s">
        <v>248</v>
      </c>
      <c r="I199" s="5" t="s">
        <v>559</v>
      </c>
    </row>
    <row r="200" spans="1:9" ht="21.95" customHeight="1" x14ac:dyDescent="0.3">
      <c r="A200">
        <v>13622072</v>
      </c>
      <c r="B200" s="6" t="s">
        <v>137</v>
      </c>
      <c r="C200" s="6" t="s">
        <v>137</v>
      </c>
      <c r="D200" s="6" t="s">
        <v>246</v>
      </c>
      <c r="E200" s="7" t="s">
        <v>247</v>
      </c>
      <c r="F200" s="8">
        <v>0</v>
      </c>
      <c r="G200" s="8">
        <v>0</v>
      </c>
      <c r="H200" s="6" t="s">
        <v>248</v>
      </c>
      <c r="I200" s="9" t="s">
        <v>560</v>
      </c>
    </row>
    <row r="201" spans="1:9" ht="21.95" customHeight="1" x14ac:dyDescent="0.3">
      <c r="A201">
        <v>401241687</v>
      </c>
      <c r="B201" s="2" t="s">
        <v>138</v>
      </c>
      <c r="C201" s="2" t="s">
        <v>138</v>
      </c>
      <c r="D201" s="2" t="s">
        <v>246</v>
      </c>
      <c r="E201" s="3" t="s">
        <v>247</v>
      </c>
      <c r="F201" s="4">
        <v>0</v>
      </c>
      <c r="G201" s="4">
        <v>0</v>
      </c>
      <c r="H201" s="2" t="s">
        <v>248</v>
      </c>
      <c r="I201" s="5" t="s">
        <v>561</v>
      </c>
    </row>
    <row r="202" spans="1:9" ht="21.95" customHeight="1" x14ac:dyDescent="0.3">
      <c r="A202">
        <v>8540103</v>
      </c>
      <c r="B202" s="6" t="s">
        <v>139</v>
      </c>
      <c r="C202" s="6" t="s">
        <v>160</v>
      </c>
      <c r="D202" s="6" t="s">
        <v>246</v>
      </c>
      <c r="E202" s="7" t="s">
        <v>247</v>
      </c>
      <c r="F202" s="8">
        <v>0</v>
      </c>
      <c r="G202" s="8">
        <v>0</v>
      </c>
      <c r="H202" s="6" t="s">
        <v>248</v>
      </c>
      <c r="I202" s="9" t="s">
        <v>562</v>
      </c>
    </row>
    <row r="203" spans="1:9" ht="21.95" customHeight="1" x14ac:dyDescent="0.3">
      <c r="A203">
        <v>1782067734</v>
      </c>
      <c r="B203" s="2" t="s">
        <v>140</v>
      </c>
      <c r="C203" s="2" t="s">
        <v>140</v>
      </c>
      <c r="D203" s="2" t="s">
        <v>285</v>
      </c>
      <c r="E203" s="3" t="s">
        <v>361</v>
      </c>
      <c r="F203" s="4">
        <v>10000</v>
      </c>
      <c r="G203" s="4">
        <v>35000</v>
      </c>
      <c r="H203" s="2" t="s">
        <v>287</v>
      </c>
      <c r="I203" s="5" t="s">
        <v>563</v>
      </c>
    </row>
    <row r="204" spans="1:9" ht="21.95" customHeight="1" x14ac:dyDescent="0.3">
      <c r="A204">
        <v>8014870</v>
      </c>
      <c r="B204" s="6" t="s">
        <v>141</v>
      </c>
      <c r="C204" s="6" t="s">
        <v>141</v>
      </c>
      <c r="D204" s="6" t="s">
        <v>250</v>
      </c>
      <c r="E204" s="7" t="s">
        <v>251</v>
      </c>
      <c r="F204" s="8">
        <v>2000</v>
      </c>
      <c r="G204" s="8">
        <v>10000</v>
      </c>
      <c r="H204" s="6" t="s">
        <v>252</v>
      </c>
      <c r="I204" s="9" t="s">
        <v>564</v>
      </c>
    </row>
    <row r="205" spans="1:9" ht="21.95" customHeight="1" x14ac:dyDescent="0.3">
      <c r="A205">
        <v>25035251</v>
      </c>
      <c r="B205" s="2" t="s">
        <v>142</v>
      </c>
      <c r="C205" s="2" t="s">
        <v>142</v>
      </c>
      <c r="D205" s="2" t="s">
        <v>246</v>
      </c>
      <c r="E205" s="3" t="s">
        <v>255</v>
      </c>
      <c r="F205" s="4">
        <v>0</v>
      </c>
      <c r="G205" s="4">
        <v>0</v>
      </c>
      <c r="H205" s="2" t="s">
        <v>248</v>
      </c>
      <c r="I205" s="5" t="s">
        <v>565</v>
      </c>
    </row>
    <row r="206" spans="1:9" ht="21.95" customHeight="1" x14ac:dyDescent="0.3">
      <c r="A206">
        <v>8090013</v>
      </c>
      <c r="B206" s="6" t="s">
        <v>143</v>
      </c>
      <c r="C206" s="6" t="s">
        <v>566</v>
      </c>
      <c r="D206" s="6" t="s">
        <v>246</v>
      </c>
      <c r="E206" s="7" t="s">
        <v>247</v>
      </c>
      <c r="F206" s="8">
        <v>0</v>
      </c>
      <c r="G206" s="8">
        <v>0</v>
      </c>
      <c r="H206" s="6" t="s">
        <v>248</v>
      </c>
      <c r="I206" s="9" t="s">
        <v>567</v>
      </c>
    </row>
    <row r="207" spans="1:9" ht="21.95" customHeight="1" x14ac:dyDescent="0.3">
      <c r="A207">
        <v>25323416</v>
      </c>
      <c r="B207" s="2" t="s">
        <v>144</v>
      </c>
      <c r="C207" s="2" t="s">
        <v>144</v>
      </c>
      <c r="D207" s="2" t="s">
        <v>246</v>
      </c>
      <c r="E207" s="3" t="s">
        <v>247</v>
      </c>
      <c r="F207" s="4">
        <v>0</v>
      </c>
      <c r="G207" s="4">
        <v>0</v>
      </c>
      <c r="H207" s="2" t="s">
        <v>248</v>
      </c>
      <c r="I207" s="5" t="s">
        <v>568</v>
      </c>
    </row>
    <row r="208" spans="1:9" ht="21.95" customHeight="1" x14ac:dyDescent="0.3">
      <c r="A208">
        <v>289351382</v>
      </c>
      <c r="B208" s="6" t="s">
        <v>569</v>
      </c>
      <c r="C208" s="6" t="s">
        <v>569</v>
      </c>
      <c r="D208" s="6" t="s">
        <v>246</v>
      </c>
      <c r="E208" s="7" t="s">
        <v>247</v>
      </c>
      <c r="F208" s="8">
        <v>0</v>
      </c>
      <c r="G208" s="8">
        <v>0</v>
      </c>
      <c r="H208" s="6" t="s">
        <v>248</v>
      </c>
      <c r="I208" s="9" t="s">
        <v>570</v>
      </c>
    </row>
    <row r="209" spans="1:9" ht="21.95" customHeight="1" x14ac:dyDescent="0.3">
      <c r="A209">
        <v>8012189</v>
      </c>
      <c r="B209" s="2" t="s">
        <v>145</v>
      </c>
      <c r="C209" s="2" t="s">
        <v>571</v>
      </c>
      <c r="D209" s="2" t="s">
        <v>246</v>
      </c>
      <c r="E209" s="3" t="s">
        <v>247</v>
      </c>
      <c r="F209" s="4">
        <v>0</v>
      </c>
      <c r="G209" s="4">
        <v>0</v>
      </c>
      <c r="H209" s="2" t="s">
        <v>248</v>
      </c>
      <c r="I209" s="5" t="s">
        <v>572</v>
      </c>
    </row>
    <row r="210" spans="1:9" ht="21.95" customHeight="1" x14ac:dyDescent="0.3">
      <c r="A210">
        <v>1970947390</v>
      </c>
      <c r="B210" s="6" t="s">
        <v>573</v>
      </c>
      <c r="C210" s="6" t="s">
        <v>574</v>
      </c>
      <c r="D210" s="6" t="s">
        <v>246</v>
      </c>
      <c r="E210" s="7" t="s">
        <v>247</v>
      </c>
      <c r="F210" s="8">
        <v>0</v>
      </c>
      <c r="G210" s="8">
        <v>0</v>
      </c>
      <c r="H210" s="6" t="s">
        <v>248</v>
      </c>
      <c r="I210" s="9" t="s">
        <v>575</v>
      </c>
    </row>
    <row r="211" spans="1:9" ht="21.95" customHeight="1" x14ac:dyDescent="0.3">
      <c r="A211">
        <v>1822049240</v>
      </c>
      <c r="B211" s="2" t="s">
        <v>146</v>
      </c>
      <c r="C211" s="2" t="s">
        <v>146</v>
      </c>
      <c r="D211" s="2" t="s">
        <v>246</v>
      </c>
      <c r="E211" s="3" t="s">
        <v>291</v>
      </c>
      <c r="F211" s="4">
        <v>0</v>
      </c>
      <c r="G211" s="4">
        <v>0</v>
      </c>
      <c r="H211" s="2" t="s">
        <v>248</v>
      </c>
      <c r="I211" s="5" t="s">
        <v>576</v>
      </c>
    </row>
    <row r="212" spans="1:9" ht="21.95" customHeight="1" x14ac:dyDescent="0.3">
      <c r="A212">
        <v>8014454</v>
      </c>
      <c r="B212" s="6" t="s">
        <v>147</v>
      </c>
      <c r="C212" s="6" t="s">
        <v>147</v>
      </c>
      <c r="D212" s="6" t="s">
        <v>246</v>
      </c>
      <c r="E212" s="7" t="s">
        <v>247</v>
      </c>
      <c r="F212" s="8">
        <v>0</v>
      </c>
      <c r="G212" s="8">
        <v>0</v>
      </c>
      <c r="H212" s="6" t="s">
        <v>248</v>
      </c>
      <c r="I212" s="9" t="s">
        <v>577</v>
      </c>
    </row>
    <row r="213" spans="1:9" ht="21.95" customHeight="1" x14ac:dyDescent="0.3">
      <c r="A213">
        <v>25618250</v>
      </c>
      <c r="B213" s="2" t="s">
        <v>148</v>
      </c>
      <c r="C213" s="2" t="s">
        <v>578</v>
      </c>
      <c r="D213" s="2" t="s">
        <v>266</v>
      </c>
      <c r="E213" s="3" t="s">
        <v>316</v>
      </c>
      <c r="F213" s="4">
        <v>1000</v>
      </c>
      <c r="G213" s="4">
        <v>5000</v>
      </c>
      <c r="H213" s="2" t="s">
        <v>268</v>
      </c>
      <c r="I213" s="5" t="s">
        <v>579</v>
      </c>
    </row>
    <row r="214" spans="1:9" ht="21.95" customHeight="1" x14ac:dyDescent="0.3">
      <c r="A214">
        <v>8022938</v>
      </c>
      <c r="B214" s="6" t="s">
        <v>149</v>
      </c>
      <c r="C214" s="6" t="s">
        <v>149</v>
      </c>
      <c r="D214" s="6" t="s">
        <v>246</v>
      </c>
      <c r="E214" s="7" t="s">
        <v>255</v>
      </c>
      <c r="F214" s="8">
        <v>0</v>
      </c>
      <c r="G214" s="8">
        <v>0</v>
      </c>
      <c r="H214" s="6" t="s">
        <v>248</v>
      </c>
      <c r="I214" s="9" t="s">
        <v>580</v>
      </c>
    </row>
    <row r="215" spans="1:9" ht="21.95" customHeight="1" x14ac:dyDescent="0.3">
      <c r="A215">
        <v>11188641</v>
      </c>
      <c r="B215" s="2" t="s">
        <v>150</v>
      </c>
      <c r="C215" s="2" t="s">
        <v>581</v>
      </c>
      <c r="D215" s="2" t="s">
        <v>246</v>
      </c>
      <c r="E215" s="3" t="s">
        <v>291</v>
      </c>
      <c r="F215" s="4">
        <v>0</v>
      </c>
      <c r="G215" s="4">
        <v>0</v>
      </c>
      <c r="H215" s="2" t="s">
        <v>248</v>
      </c>
      <c r="I215" s="5" t="s">
        <v>582</v>
      </c>
    </row>
    <row r="216" spans="1:9" ht="21.95" customHeight="1" x14ac:dyDescent="0.3">
      <c r="A216">
        <v>8466942</v>
      </c>
      <c r="B216" s="6" t="s">
        <v>151</v>
      </c>
      <c r="C216" s="6" t="s">
        <v>151</v>
      </c>
      <c r="D216" s="6" t="s">
        <v>250</v>
      </c>
      <c r="E216" s="7" t="s">
        <v>420</v>
      </c>
      <c r="F216" s="8">
        <v>2000</v>
      </c>
      <c r="G216" s="8">
        <v>10000</v>
      </c>
      <c r="H216" s="6" t="s">
        <v>252</v>
      </c>
      <c r="I216" s="9" t="s">
        <v>583</v>
      </c>
    </row>
    <row r="217" spans="1:9" ht="21.95" customHeight="1" x14ac:dyDescent="0.3">
      <c r="A217">
        <v>15167992</v>
      </c>
      <c r="B217" s="2" t="s">
        <v>584</v>
      </c>
      <c r="C217" s="2" t="s">
        <v>584</v>
      </c>
      <c r="D217" s="2" t="s">
        <v>246</v>
      </c>
      <c r="E217" s="3" t="s">
        <v>255</v>
      </c>
      <c r="F217" s="4">
        <v>0</v>
      </c>
      <c r="G217" s="4">
        <v>0</v>
      </c>
      <c r="H217" s="2" t="s">
        <v>248</v>
      </c>
      <c r="I217" s="5" t="s">
        <v>585</v>
      </c>
    </row>
    <row r="218" spans="1:9" ht="21.95" customHeight="1" x14ac:dyDescent="0.3">
      <c r="A218">
        <v>27301455</v>
      </c>
      <c r="B218" s="6" t="s">
        <v>152</v>
      </c>
      <c r="C218" s="6" t="s">
        <v>152</v>
      </c>
      <c r="D218" s="6" t="s">
        <v>246</v>
      </c>
      <c r="E218" s="7" t="s">
        <v>247</v>
      </c>
      <c r="F218" s="8">
        <v>0</v>
      </c>
      <c r="G218" s="8">
        <v>0</v>
      </c>
      <c r="H218" s="6" t="s">
        <v>248</v>
      </c>
      <c r="I218" s="9" t="s">
        <v>586</v>
      </c>
    </row>
    <row r="219" spans="1:9" ht="21.95" customHeight="1" x14ac:dyDescent="0.3">
      <c r="A219">
        <v>10380118</v>
      </c>
      <c r="B219" s="2" t="s">
        <v>587</v>
      </c>
      <c r="C219" s="2" t="s">
        <v>587</v>
      </c>
      <c r="D219" s="2" t="s">
        <v>246</v>
      </c>
      <c r="E219" s="3" t="s">
        <v>291</v>
      </c>
      <c r="F219" s="4">
        <v>0</v>
      </c>
      <c r="G219" s="4">
        <v>0</v>
      </c>
      <c r="H219" s="2" t="s">
        <v>248</v>
      </c>
      <c r="I219" s="5" t="s">
        <v>588</v>
      </c>
    </row>
    <row r="220" spans="1:9" ht="21.95" customHeight="1" x14ac:dyDescent="0.3">
      <c r="A220">
        <v>11177742</v>
      </c>
      <c r="B220" s="6" t="s">
        <v>589</v>
      </c>
      <c r="C220" s="6" t="s">
        <v>589</v>
      </c>
      <c r="D220" s="6" t="s">
        <v>250</v>
      </c>
      <c r="E220" s="7" t="s">
        <v>251</v>
      </c>
      <c r="F220" s="8">
        <v>2000</v>
      </c>
      <c r="G220" s="8">
        <v>10000</v>
      </c>
      <c r="H220" s="6" t="s">
        <v>252</v>
      </c>
      <c r="I220" s="9" t="s">
        <v>590</v>
      </c>
    </row>
    <row r="221" spans="1:9" ht="21.95" customHeight="1" x14ac:dyDescent="0.3">
      <c r="A221">
        <v>24759651</v>
      </c>
      <c r="B221" s="2" t="s">
        <v>153</v>
      </c>
      <c r="C221" s="2" t="s">
        <v>591</v>
      </c>
      <c r="D221" s="2" t="s">
        <v>246</v>
      </c>
      <c r="E221" s="3" t="s">
        <v>291</v>
      </c>
      <c r="F221" s="4">
        <v>0</v>
      </c>
      <c r="G221" s="4">
        <v>0</v>
      </c>
      <c r="H221" s="2" t="s">
        <v>248</v>
      </c>
      <c r="I221" s="5" t="s">
        <v>592</v>
      </c>
    </row>
    <row r="222" spans="1:9" ht="21.95" customHeight="1" x14ac:dyDescent="0.3">
      <c r="A222">
        <v>18661839</v>
      </c>
      <c r="B222" s="6" t="s">
        <v>154</v>
      </c>
      <c r="C222" s="6" t="s">
        <v>154</v>
      </c>
      <c r="D222" s="6" t="s">
        <v>246</v>
      </c>
      <c r="E222" s="7" t="s">
        <v>247</v>
      </c>
      <c r="F222" s="8">
        <v>0</v>
      </c>
      <c r="G222" s="8">
        <v>0</v>
      </c>
      <c r="H222" s="6" t="s">
        <v>248</v>
      </c>
      <c r="I222" s="9" t="s">
        <v>593</v>
      </c>
    </row>
    <row r="223" spans="1:9" ht="21.95" customHeight="1" x14ac:dyDescent="0.3">
      <c r="A223">
        <v>25972186</v>
      </c>
      <c r="B223" s="2" t="s">
        <v>594</v>
      </c>
      <c r="C223" s="2" t="s">
        <v>594</v>
      </c>
      <c r="D223" s="2" t="s">
        <v>250</v>
      </c>
      <c r="E223" s="3" t="s">
        <v>251</v>
      </c>
      <c r="F223" s="4">
        <v>2000</v>
      </c>
      <c r="G223" s="4">
        <v>10000</v>
      </c>
      <c r="H223" s="2" t="s">
        <v>252</v>
      </c>
      <c r="I223" s="5" t="s">
        <v>595</v>
      </c>
    </row>
    <row r="224" spans="1:9" ht="21.95" customHeight="1" x14ac:dyDescent="0.3">
      <c r="A224">
        <v>10657556</v>
      </c>
      <c r="B224" s="6" t="s">
        <v>596</v>
      </c>
      <c r="C224" s="6" t="s">
        <v>597</v>
      </c>
      <c r="D224" s="6" t="s">
        <v>246</v>
      </c>
      <c r="E224" s="7" t="s">
        <v>247</v>
      </c>
      <c r="F224" s="8">
        <v>0</v>
      </c>
      <c r="G224" s="8">
        <v>0</v>
      </c>
      <c r="H224" s="6" t="s">
        <v>248</v>
      </c>
      <c r="I224" s="9" t="s">
        <v>598</v>
      </c>
    </row>
    <row r="225" spans="1:9" ht="21.95" customHeight="1" x14ac:dyDescent="0.3">
      <c r="A225">
        <v>24051055</v>
      </c>
      <c r="B225" s="2" t="s">
        <v>155</v>
      </c>
      <c r="C225" s="2" t="s">
        <v>155</v>
      </c>
      <c r="D225" s="2" t="s">
        <v>246</v>
      </c>
      <c r="E225" s="3" t="s">
        <v>255</v>
      </c>
      <c r="F225" s="4">
        <v>0</v>
      </c>
      <c r="G225" s="4">
        <v>0</v>
      </c>
      <c r="H225" s="2" t="s">
        <v>248</v>
      </c>
      <c r="I225" s="5" t="s">
        <v>599</v>
      </c>
    </row>
    <row r="226" spans="1:9" ht="21.95" customHeight="1" x14ac:dyDescent="0.3">
      <c r="A226">
        <v>9402122</v>
      </c>
      <c r="B226" s="6" t="s">
        <v>156</v>
      </c>
      <c r="C226" s="6" t="s">
        <v>156</v>
      </c>
      <c r="D226" s="6" t="s">
        <v>238</v>
      </c>
      <c r="E226" s="7" t="s">
        <v>239</v>
      </c>
      <c r="F226" s="8">
        <v>0</v>
      </c>
      <c r="G226" s="8">
        <v>3000</v>
      </c>
      <c r="H226" s="6" t="s">
        <v>240</v>
      </c>
      <c r="I226" s="9" t="s">
        <v>600</v>
      </c>
    </row>
    <row r="227" spans="1:9" ht="21.95" customHeight="1" x14ac:dyDescent="0.3">
      <c r="A227">
        <v>8052398</v>
      </c>
      <c r="B227" s="2" t="s">
        <v>157</v>
      </c>
      <c r="C227" s="2" t="s">
        <v>157</v>
      </c>
      <c r="D227" s="2" t="s">
        <v>246</v>
      </c>
      <c r="E227" s="3" t="s">
        <v>255</v>
      </c>
      <c r="F227" s="4">
        <v>0</v>
      </c>
      <c r="G227" s="4">
        <v>0</v>
      </c>
      <c r="H227" s="2" t="s">
        <v>248</v>
      </c>
      <c r="I227" s="5" t="s">
        <v>601</v>
      </c>
    </row>
    <row r="228" spans="1:9" ht="21.95" customHeight="1" x14ac:dyDescent="0.3">
      <c r="A228">
        <v>25626933</v>
      </c>
      <c r="B228" s="6" t="s">
        <v>602</v>
      </c>
      <c r="C228" s="6" t="s">
        <v>602</v>
      </c>
      <c r="D228" s="6" t="s">
        <v>246</v>
      </c>
      <c r="E228" s="7" t="s">
        <v>247</v>
      </c>
      <c r="F228" s="8">
        <v>0</v>
      </c>
      <c r="G228" s="8">
        <v>0</v>
      </c>
      <c r="H228" s="6" t="s">
        <v>248</v>
      </c>
      <c r="I228" s="9" t="s">
        <v>603</v>
      </c>
    </row>
    <row r="229" spans="1:9" ht="21.95" customHeight="1" x14ac:dyDescent="0.3">
      <c r="A229">
        <v>18606983</v>
      </c>
      <c r="B229" s="2" t="s">
        <v>604</v>
      </c>
      <c r="C229" s="2" t="s">
        <v>605</v>
      </c>
      <c r="D229" s="2" t="s">
        <v>250</v>
      </c>
      <c r="E229" s="3" t="s">
        <v>251</v>
      </c>
      <c r="F229" s="4">
        <v>2000</v>
      </c>
      <c r="G229" s="4">
        <v>10000</v>
      </c>
      <c r="H229" s="2" t="s">
        <v>252</v>
      </c>
      <c r="I229" s="5" t="s">
        <v>606</v>
      </c>
    </row>
    <row r="230" spans="1:9" ht="21.95" customHeight="1" x14ac:dyDescent="0.3">
      <c r="A230">
        <v>7911714</v>
      </c>
      <c r="B230" s="6" t="s">
        <v>158</v>
      </c>
      <c r="C230" s="6" t="s">
        <v>158</v>
      </c>
      <c r="D230" s="6" t="s">
        <v>250</v>
      </c>
      <c r="E230" s="7" t="s">
        <v>251</v>
      </c>
      <c r="F230" s="8">
        <v>2000</v>
      </c>
      <c r="G230" s="8">
        <v>10000</v>
      </c>
      <c r="H230" s="6" t="s">
        <v>252</v>
      </c>
      <c r="I230" s="9" t="s">
        <v>607</v>
      </c>
    </row>
    <row r="231" spans="1:9" ht="21.95" customHeight="1" x14ac:dyDescent="0.3">
      <c r="A231">
        <v>19883903</v>
      </c>
      <c r="B231" s="2" t="s">
        <v>159</v>
      </c>
      <c r="C231" s="2" t="s">
        <v>608</v>
      </c>
      <c r="D231" s="2" t="s">
        <v>246</v>
      </c>
      <c r="E231" s="3" t="s">
        <v>247</v>
      </c>
      <c r="F231" s="4">
        <v>0</v>
      </c>
      <c r="G231" s="4">
        <v>0</v>
      </c>
      <c r="H231" s="2" t="s">
        <v>248</v>
      </c>
      <c r="I231" s="5" t="s">
        <v>609</v>
      </c>
    </row>
    <row r="232" spans="1:9" ht="21.95" customHeight="1" x14ac:dyDescent="0.3">
      <c r="A232">
        <v>12458663</v>
      </c>
      <c r="B232" s="6" t="s">
        <v>160</v>
      </c>
      <c r="C232" s="6" t="s">
        <v>610</v>
      </c>
      <c r="D232" s="6" t="s">
        <v>246</v>
      </c>
      <c r="E232" s="7" t="s">
        <v>247</v>
      </c>
      <c r="F232" s="8">
        <v>0</v>
      </c>
      <c r="G232" s="8">
        <v>0</v>
      </c>
      <c r="H232" s="6" t="s">
        <v>248</v>
      </c>
      <c r="I232" s="9" t="s">
        <v>611</v>
      </c>
    </row>
    <row r="233" spans="1:9" ht="21.95" customHeight="1" x14ac:dyDescent="0.3">
      <c r="A233">
        <v>10254800</v>
      </c>
      <c r="B233" s="2" t="s">
        <v>161</v>
      </c>
      <c r="C233" s="2" t="s">
        <v>161</v>
      </c>
      <c r="D233" s="2" t="s">
        <v>246</v>
      </c>
      <c r="E233" s="3" t="s">
        <v>291</v>
      </c>
      <c r="F233" s="4">
        <v>0</v>
      </c>
      <c r="G233" s="4">
        <v>0</v>
      </c>
      <c r="H233" s="2" t="s">
        <v>248</v>
      </c>
      <c r="I233" s="5" t="s">
        <v>612</v>
      </c>
    </row>
    <row r="234" spans="1:9" ht="21.95" customHeight="1" x14ac:dyDescent="0.3">
      <c r="A234">
        <v>26952521</v>
      </c>
      <c r="B234" s="6" t="s">
        <v>162</v>
      </c>
      <c r="C234" s="6" t="s">
        <v>162</v>
      </c>
      <c r="D234" s="6" t="s">
        <v>246</v>
      </c>
      <c r="E234" s="7" t="s">
        <v>255</v>
      </c>
      <c r="F234" s="8">
        <v>0</v>
      </c>
      <c r="G234" s="8">
        <v>0</v>
      </c>
      <c r="H234" s="6" t="s">
        <v>248</v>
      </c>
      <c r="I234" s="9" t="s">
        <v>613</v>
      </c>
    </row>
    <row r="235" spans="1:9" ht="21.95" customHeight="1" x14ac:dyDescent="0.3">
      <c r="A235">
        <v>748327736</v>
      </c>
      <c r="B235" s="2" t="s">
        <v>163</v>
      </c>
      <c r="C235" s="2" t="s">
        <v>163</v>
      </c>
      <c r="D235" s="2" t="s">
        <v>246</v>
      </c>
      <c r="E235" s="3" t="s">
        <v>255</v>
      </c>
      <c r="F235" s="4">
        <v>0</v>
      </c>
      <c r="G235" s="4">
        <v>0</v>
      </c>
      <c r="H235" s="2" t="s">
        <v>248</v>
      </c>
      <c r="I235" s="5" t="s">
        <v>614</v>
      </c>
    </row>
    <row r="236" spans="1:9" ht="21.95" customHeight="1" x14ac:dyDescent="0.3">
      <c r="A236">
        <v>681597926</v>
      </c>
      <c r="B236" s="6" t="s">
        <v>164</v>
      </c>
      <c r="C236" s="6" t="s">
        <v>164</v>
      </c>
      <c r="D236" s="6" t="s">
        <v>242</v>
      </c>
      <c r="E236" s="7" t="s">
        <v>351</v>
      </c>
      <c r="F236" s="8">
        <v>8000</v>
      </c>
      <c r="G236" s="8">
        <v>20000</v>
      </c>
      <c r="H236" s="6" t="s">
        <v>243</v>
      </c>
      <c r="I236" s="9" t="s">
        <v>615</v>
      </c>
    </row>
    <row r="237" spans="1:9" ht="21.95" customHeight="1" x14ac:dyDescent="0.3">
      <c r="A237">
        <v>2045844394</v>
      </c>
      <c r="B237" s="2" t="s">
        <v>165</v>
      </c>
      <c r="C237" s="2" t="s">
        <v>165</v>
      </c>
      <c r="D237" s="2" t="s">
        <v>246</v>
      </c>
      <c r="E237" s="3" t="s">
        <v>247</v>
      </c>
      <c r="F237" s="4">
        <v>0</v>
      </c>
      <c r="G237" s="4">
        <v>0</v>
      </c>
      <c r="H237" s="2" t="s">
        <v>248</v>
      </c>
      <c r="I237" s="5" t="s">
        <v>616</v>
      </c>
    </row>
    <row r="238" spans="1:9" ht="21.95" customHeight="1" x14ac:dyDescent="0.3">
      <c r="A238">
        <v>10713257</v>
      </c>
      <c r="B238" s="6" t="s">
        <v>166</v>
      </c>
      <c r="C238" s="6" t="s">
        <v>617</v>
      </c>
      <c r="D238" s="6" t="s">
        <v>285</v>
      </c>
      <c r="E238" s="7" t="s">
        <v>286</v>
      </c>
      <c r="F238" s="8">
        <v>10000</v>
      </c>
      <c r="G238" s="8">
        <v>35000</v>
      </c>
      <c r="H238" s="6" t="s">
        <v>287</v>
      </c>
      <c r="I238" s="9" t="s">
        <v>618</v>
      </c>
    </row>
    <row r="239" spans="1:9" ht="21.95" customHeight="1" x14ac:dyDescent="0.3">
      <c r="A239">
        <v>599490456</v>
      </c>
      <c r="B239" s="2" t="s">
        <v>619</v>
      </c>
      <c r="C239" s="2" t="s">
        <v>620</v>
      </c>
      <c r="D239" s="2" t="s">
        <v>246</v>
      </c>
      <c r="E239" s="3" t="s">
        <v>247</v>
      </c>
      <c r="F239" s="4">
        <v>0</v>
      </c>
      <c r="G239" s="4">
        <v>0</v>
      </c>
      <c r="H239" s="2" t="s">
        <v>248</v>
      </c>
      <c r="I239" s="5" t="s">
        <v>621</v>
      </c>
    </row>
    <row r="240" spans="1:9" ht="21.95" customHeight="1" x14ac:dyDescent="0.3">
      <c r="A240">
        <v>26911855</v>
      </c>
      <c r="B240" s="6" t="s">
        <v>622</v>
      </c>
      <c r="C240" s="6" t="s">
        <v>623</v>
      </c>
      <c r="D240" s="6" t="s">
        <v>242</v>
      </c>
      <c r="E240" s="7" t="s">
        <v>351</v>
      </c>
      <c r="F240" s="8">
        <v>8000</v>
      </c>
      <c r="G240" s="8">
        <v>20000</v>
      </c>
      <c r="H240" s="6" t="s">
        <v>243</v>
      </c>
      <c r="I240" s="9" t="s">
        <v>624</v>
      </c>
    </row>
    <row r="241" spans="1:9" ht="21.95" customHeight="1" x14ac:dyDescent="0.3">
      <c r="A241">
        <v>11728631</v>
      </c>
      <c r="B241" s="2" t="s">
        <v>167</v>
      </c>
      <c r="C241" s="2" t="s">
        <v>167</v>
      </c>
      <c r="D241" s="2" t="s">
        <v>246</v>
      </c>
      <c r="E241" s="3" t="s">
        <v>247</v>
      </c>
      <c r="F241" s="4">
        <v>0</v>
      </c>
      <c r="G241" s="4">
        <v>0</v>
      </c>
      <c r="H241" s="2" t="s">
        <v>248</v>
      </c>
      <c r="I241" s="5" t="s">
        <v>625</v>
      </c>
    </row>
    <row r="242" spans="1:9" ht="21.95" customHeight="1" x14ac:dyDescent="0.3">
      <c r="A242">
        <v>8078270</v>
      </c>
      <c r="B242" s="6" t="s">
        <v>168</v>
      </c>
      <c r="C242" s="6" t="s">
        <v>168</v>
      </c>
      <c r="D242" s="6" t="s">
        <v>246</v>
      </c>
      <c r="E242" s="7" t="s">
        <v>291</v>
      </c>
      <c r="F242" s="8">
        <v>0</v>
      </c>
      <c r="G242" s="8">
        <v>0</v>
      </c>
      <c r="H242" s="6" t="s">
        <v>248</v>
      </c>
      <c r="I242" s="9" t="s">
        <v>626</v>
      </c>
    </row>
    <row r="243" spans="1:9" ht="21.95" customHeight="1" x14ac:dyDescent="0.3">
      <c r="A243">
        <v>11209011</v>
      </c>
      <c r="B243" s="2" t="s">
        <v>169</v>
      </c>
      <c r="C243" s="2" t="s">
        <v>169</v>
      </c>
      <c r="D243" s="2" t="s">
        <v>242</v>
      </c>
      <c r="E243" s="3" t="s">
        <v>351</v>
      </c>
      <c r="F243" s="4">
        <v>8000</v>
      </c>
      <c r="G243" s="4">
        <v>20000</v>
      </c>
      <c r="H243" s="2" t="s">
        <v>243</v>
      </c>
      <c r="I243" s="5" t="s">
        <v>627</v>
      </c>
    </row>
    <row r="244" spans="1:9" ht="21.95" customHeight="1" x14ac:dyDescent="0.3">
      <c r="A244">
        <v>25478174</v>
      </c>
      <c r="B244" s="6" t="s">
        <v>170</v>
      </c>
      <c r="C244" s="6" t="s">
        <v>170</v>
      </c>
      <c r="D244" s="6" t="s">
        <v>250</v>
      </c>
      <c r="E244" s="7" t="s">
        <v>251</v>
      </c>
      <c r="F244" s="8">
        <v>2000</v>
      </c>
      <c r="G244" s="8">
        <v>10000</v>
      </c>
      <c r="H244" s="6" t="s">
        <v>252</v>
      </c>
      <c r="I244" s="9" t="s">
        <v>628</v>
      </c>
    </row>
    <row r="245" spans="1:9" ht="21.95" customHeight="1" x14ac:dyDescent="0.3">
      <c r="A245">
        <v>1944590477</v>
      </c>
      <c r="B245" s="2" t="s">
        <v>629</v>
      </c>
      <c r="C245" s="2" t="s">
        <v>630</v>
      </c>
      <c r="D245" s="2" t="s">
        <v>246</v>
      </c>
      <c r="E245" s="3" t="s">
        <v>247</v>
      </c>
      <c r="F245" s="4">
        <v>0</v>
      </c>
      <c r="G245" s="4">
        <v>0</v>
      </c>
      <c r="H245" s="2" t="s">
        <v>248</v>
      </c>
      <c r="I245" s="5" t="s">
        <v>631</v>
      </c>
    </row>
    <row r="246" spans="1:9" ht="21.95" customHeight="1" x14ac:dyDescent="0.3">
      <c r="A246">
        <v>8069442</v>
      </c>
      <c r="B246" s="6" t="s">
        <v>632</v>
      </c>
      <c r="C246" s="6" t="s">
        <v>632</v>
      </c>
      <c r="D246" s="6" t="s">
        <v>246</v>
      </c>
      <c r="E246" s="7" t="s">
        <v>247</v>
      </c>
      <c r="F246" s="8">
        <v>0</v>
      </c>
      <c r="G246" s="8">
        <v>0</v>
      </c>
      <c r="H246" s="6" t="s">
        <v>248</v>
      </c>
      <c r="I246" s="9" t="s">
        <v>633</v>
      </c>
    </row>
    <row r="247" spans="1:9" ht="21.95" customHeight="1" x14ac:dyDescent="0.3">
      <c r="A247">
        <v>10793255</v>
      </c>
      <c r="B247" s="2" t="s">
        <v>171</v>
      </c>
      <c r="C247" s="2" t="s">
        <v>171</v>
      </c>
      <c r="D247" s="2" t="s">
        <v>246</v>
      </c>
      <c r="E247" s="3" t="s">
        <v>247</v>
      </c>
      <c r="F247" s="4">
        <v>0</v>
      </c>
      <c r="G247" s="4">
        <v>0</v>
      </c>
      <c r="H247" s="2" t="s">
        <v>248</v>
      </c>
      <c r="I247" s="5" t="s">
        <v>634</v>
      </c>
    </row>
    <row r="248" spans="1:9" ht="21.95" customHeight="1" x14ac:dyDescent="0.3">
      <c r="A248">
        <v>8069099</v>
      </c>
      <c r="B248" s="6" t="s">
        <v>635</v>
      </c>
      <c r="C248" s="6" t="s">
        <v>635</v>
      </c>
      <c r="D248" s="6" t="s">
        <v>246</v>
      </c>
      <c r="E248" s="7" t="s">
        <v>247</v>
      </c>
      <c r="F248" s="8">
        <v>0</v>
      </c>
      <c r="G248" s="8">
        <v>0</v>
      </c>
      <c r="H248" s="6" t="s">
        <v>248</v>
      </c>
      <c r="I248" s="9" t="s">
        <v>636</v>
      </c>
    </row>
    <row r="249" spans="1:9" ht="21.95" customHeight="1" x14ac:dyDescent="0.3">
      <c r="A249">
        <v>26556637</v>
      </c>
      <c r="B249" s="2" t="s">
        <v>172</v>
      </c>
      <c r="C249" s="2" t="s">
        <v>637</v>
      </c>
      <c r="D249" s="2" t="s">
        <v>246</v>
      </c>
      <c r="E249" s="3" t="s">
        <v>247</v>
      </c>
      <c r="F249" s="4">
        <v>0</v>
      </c>
      <c r="G249" s="4">
        <v>0</v>
      </c>
      <c r="H249" s="2" t="s">
        <v>248</v>
      </c>
      <c r="I249" s="5" t="s">
        <v>638</v>
      </c>
    </row>
    <row r="250" spans="1:9" ht="21.95" customHeight="1" x14ac:dyDescent="0.3">
      <c r="A250">
        <v>8074259</v>
      </c>
      <c r="B250" s="6" t="s">
        <v>173</v>
      </c>
      <c r="C250" s="6" t="s">
        <v>173</v>
      </c>
      <c r="D250" s="6" t="s">
        <v>246</v>
      </c>
      <c r="E250" s="7" t="s">
        <v>255</v>
      </c>
      <c r="F250" s="8">
        <v>0</v>
      </c>
      <c r="G250" s="8">
        <v>0</v>
      </c>
      <c r="H250" s="6" t="s">
        <v>248</v>
      </c>
      <c r="I250" s="9" t="s">
        <v>639</v>
      </c>
    </row>
    <row r="251" spans="1:9" ht="21.95" customHeight="1" x14ac:dyDescent="0.3">
      <c r="A251">
        <v>27257731</v>
      </c>
      <c r="B251" s="2" t="s">
        <v>174</v>
      </c>
      <c r="C251" s="2" t="s">
        <v>174</v>
      </c>
      <c r="D251" s="2" t="s">
        <v>266</v>
      </c>
      <c r="E251" s="3" t="s">
        <v>267</v>
      </c>
      <c r="F251" s="4">
        <v>1000</v>
      </c>
      <c r="G251" s="4">
        <v>5000</v>
      </c>
      <c r="H251" s="2" t="s">
        <v>268</v>
      </c>
      <c r="I251" s="5" t="s">
        <v>640</v>
      </c>
    </row>
    <row r="252" spans="1:9" ht="21.95" customHeight="1" x14ac:dyDescent="0.3">
      <c r="A252">
        <v>8100113</v>
      </c>
      <c r="B252" s="6" t="s">
        <v>175</v>
      </c>
      <c r="C252" s="6" t="s">
        <v>175</v>
      </c>
      <c r="D252" s="6" t="s">
        <v>250</v>
      </c>
      <c r="E252" s="7" t="s">
        <v>420</v>
      </c>
      <c r="F252" s="8">
        <v>2000</v>
      </c>
      <c r="G252" s="8">
        <v>10000</v>
      </c>
      <c r="H252" s="6" t="s">
        <v>252</v>
      </c>
      <c r="I252" s="9" t="s">
        <v>641</v>
      </c>
    </row>
    <row r="253" spans="1:9" ht="21.95" customHeight="1" x14ac:dyDescent="0.3">
      <c r="A253">
        <v>25411516</v>
      </c>
      <c r="B253" s="2" t="s">
        <v>176</v>
      </c>
      <c r="C253" s="2" t="s">
        <v>176</v>
      </c>
      <c r="D253" s="2" t="s">
        <v>246</v>
      </c>
      <c r="E253" s="3" t="s">
        <v>291</v>
      </c>
      <c r="F253" s="4">
        <v>0</v>
      </c>
      <c r="G253" s="4">
        <v>0</v>
      </c>
      <c r="H253" s="2" t="s">
        <v>248</v>
      </c>
      <c r="I253" s="5" t="s">
        <v>642</v>
      </c>
    </row>
    <row r="254" spans="1:9" ht="21.95" customHeight="1" x14ac:dyDescent="0.3">
      <c r="A254">
        <v>1648762660</v>
      </c>
      <c r="B254" s="6" t="s">
        <v>643</v>
      </c>
      <c r="C254" s="6" t="s">
        <v>644</v>
      </c>
      <c r="D254" s="6" t="s">
        <v>246</v>
      </c>
      <c r="E254" s="7" t="s">
        <v>247</v>
      </c>
      <c r="F254" s="8">
        <v>0</v>
      </c>
      <c r="G254" s="8">
        <v>0</v>
      </c>
      <c r="H254" s="6" t="s">
        <v>248</v>
      </c>
      <c r="I254" s="9" t="s">
        <v>645</v>
      </c>
    </row>
    <row r="255" spans="1:9" ht="21.95" customHeight="1" x14ac:dyDescent="0.3">
      <c r="A255">
        <v>183546962</v>
      </c>
      <c r="B255" s="2" t="s">
        <v>177</v>
      </c>
      <c r="C255" s="2" t="s">
        <v>177</v>
      </c>
      <c r="D255" s="2" t="s">
        <v>246</v>
      </c>
      <c r="E255" s="3" t="s">
        <v>255</v>
      </c>
      <c r="F255" s="4">
        <v>0</v>
      </c>
      <c r="G255" s="4">
        <v>0</v>
      </c>
      <c r="H255" s="2" t="s">
        <v>248</v>
      </c>
      <c r="I255" s="5" t="s">
        <v>646</v>
      </c>
    </row>
    <row r="256" spans="1:9" ht="21.95" customHeight="1" x14ac:dyDescent="0.3">
      <c r="A256">
        <v>1117877754</v>
      </c>
      <c r="B256" s="6" t="s">
        <v>178</v>
      </c>
      <c r="C256" s="6" t="s">
        <v>178</v>
      </c>
      <c r="D256" s="6" t="s">
        <v>250</v>
      </c>
      <c r="E256" s="7" t="s">
        <v>251</v>
      </c>
      <c r="F256" s="8">
        <v>2000</v>
      </c>
      <c r="G256" s="8">
        <v>10000</v>
      </c>
      <c r="H256" s="6" t="s">
        <v>252</v>
      </c>
      <c r="I256" s="9" t="s">
        <v>647</v>
      </c>
    </row>
    <row r="257" spans="1:9" ht="21.95" customHeight="1" x14ac:dyDescent="0.3">
      <c r="A257">
        <v>886460112</v>
      </c>
      <c r="B257" s="2" t="s">
        <v>179</v>
      </c>
      <c r="C257" s="2" t="s">
        <v>648</v>
      </c>
      <c r="D257" s="2" t="s">
        <v>250</v>
      </c>
      <c r="E257" s="3" t="s">
        <v>251</v>
      </c>
      <c r="F257" s="4">
        <v>2000</v>
      </c>
      <c r="G257" s="4">
        <v>10000</v>
      </c>
      <c r="H257" s="2" t="s">
        <v>252</v>
      </c>
      <c r="I257" s="5" t="s">
        <v>649</v>
      </c>
    </row>
    <row r="258" spans="1:9" ht="21.95" customHeight="1" x14ac:dyDescent="0.3">
      <c r="A258">
        <v>898493847</v>
      </c>
      <c r="B258" s="6" t="s">
        <v>180</v>
      </c>
      <c r="C258" s="6" t="s">
        <v>650</v>
      </c>
      <c r="D258" s="6" t="s">
        <v>246</v>
      </c>
      <c r="E258" s="7" t="s">
        <v>247</v>
      </c>
      <c r="F258" s="8">
        <v>0</v>
      </c>
      <c r="G258" s="8">
        <v>0</v>
      </c>
      <c r="H258" s="6" t="s">
        <v>248</v>
      </c>
      <c r="I258" s="9" t="s">
        <v>651</v>
      </c>
    </row>
    <row r="259" spans="1:9" ht="21.95" customHeight="1" x14ac:dyDescent="0.3">
      <c r="A259">
        <v>8109027</v>
      </c>
      <c r="B259" s="2" t="s">
        <v>181</v>
      </c>
      <c r="C259" s="2" t="s">
        <v>181</v>
      </c>
      <c r="D259" s="2" t="s">
        <v>246</v>
      </c>
      <c r="E259" s="3" t="s">
        <v>247</v>
      </c>
      <c r="F259" s="4">
        <v>0</v>
      </c>
      <c r="G259" s="4">
        <v>0</v>
      </c>
      <c r="H259" s="2" t="s">
        <v>248</v>
      </c>
      <c r="I259" s="5" t="s">
        <v>652</v>
      </c>
    </row>
    <row r="260" spans="1:9" ht="21.95" customHeight="1" x14ac:dyDescent="0.3">
      <c r="A260">
        <v>8088618</v>
      </c>
      <c r="B260" s="6" t="s">
        <v>653</v>
      </c>
      <c r="C260" s="6" t="s">
        <v>653</v>
      </c>
      <c r="D260" s="6" t="s">
        <v>246</v>
      </c>
      <c r="E260" s="7" t="s">
        <v>255</v>
      </c>
      <c r="F260" s="8">
        <v>0</v>
      </c>
      <c r="G260" s="8">
        <v>0</v>
      </c>
      <c r="H260" s="6" t="s">
        <v>248</v>
      </c>
      <c r="I260" s="9" t="s">
        <v>654</v>
      </c>
    </row>
    <row r="261" spans="1:9" ht="21.95" customHeight="1" x14ac:dyDescent="0.3">
      <c r="A261">
        <v>17583186</v>
      </c>
      <c r="B261" s="2" t="s">
        <v>182</v>
      </c>
      <c r="C261" s="2" t="s">
        <v>182</v>
      </c>
      <c r="D261" s="2" t="s">
        <v>246</v>
      </c>
      <c r="E261" s="3" t="s">
        <v>247</v>
      </c>
      <c r="F261" s="4">
        <v>0</v>
      </c>
      <c r="G261" s="4">
        <v>0</v>
      </c>
      <c r="H261" s="2" t="s">
        <v>248</v>
      </c>
      <c r="I261" s="5" t="s">
        <v>655</v>
      </c>
    </row>
    <row r="262" spans="1:9" ht="21.95" customHeight="1" x14ac:dyDescent="0.3">
      <c r="A262">
        <v>8105816</v>
      </c>
      <c r="B262" s="6" t="s">
        <v>183</v>
      </c>
      <c r="C262" s="6" t="s">
        <v>183</v>
      </c>
      <c r="D262" s="6" t="s">
        <v>246</v>
      </c>
      <c r="E262" s="7" t="s">
        <v>247</v>
      </c>
      <c r="F262" s="8">
        <v>0</v>
      </c>
      <c r="G262" s="8">
        <v>0</v>
      </c>
      <c r="H262" s="6" t="s">
        <v>248</v>
      </c>
      <c r="I262" s="9" t="s">
        <v>656</v>
      </c>
    </row>
    <row r="263" spans="1:9" ht="21.95" customHeight="1" x14ac:dyDescent="0.3">
      <c r="A263">
        <v>26139470</v>
      </c>
      <c r="B263" s="2" t="s">
        <v>184</v>
      </c>
      <c r="C263" s="2" t="s">
        <v>657</v>
      </c>
      <c r="D263" s="2" t="s">
        <v>266</v>
      </c>
      <c r="E263" s="3" t="s">
        <v>316</v>
      </c>
      <c r="F263" s="4">
        <v>1000</v>
      </c>
      <c r="G263" s="4">
        <v>5000</v>
      </c>
      <c r="H263" s="2" t="s">
        <v>268</v>
      </c>
      <c r="I263" s="5" t="s">
        <v>658</v>
      </c>
    </row>
    <row r="264" spans="1:9" ht="21.95" customHeight="1" x14ac:dyDescent="0.3">
      <c r="A264">
        <v>17958874</v>
      </c>
      <c r="B264" s="6" t="s">
        <v>659</v>
      </c>
      <c r="C264" s="6" t="s">
        <v>659</v>
      </c>
      <c r="D264" s="6" t="s">
        <v>246</v>
      </c>
      <c r="E264" s="7" t="s">
        <v>291</v>
      </c>
      <c r="F264" s="8">
        <v>0</v>
      </c>
      <c r="G264" s="8">
        <v>0</v>
      </c>
      <c r="H264" s="6" t="s">
        <v>248</v>
      </c>
      <c r="I264" s="9" t="s">
        <v>660</v>
      </c>
    </row>
    <row r="265" spans="1:9" ht="21.95" customHeight="1" x14ac:dyDescent="0.3">
      <c r="A265">
        <v>1778342372</v>
      </c>
      <c r="B265" s="2" t="s">
        <v>185</v>
      </c>
      <c r="C265" s="2" t="s">
        <v>185</v>
      </c>
      <c r="D265" s="2" t="s">
        <v>246</v>
      </c>
      <c r="E265" s="3" t="s">
        <v>247</v>
      </c>
      <c r="F265" s="4">
        <v>0</v>
      </c>
      <c r="G265" s="4">
        <v>0</v>
      </c>
      <c r="H265" s="2" t="s">
        <v>248</v>
      </c>
      <c r="I265" s="5" t="s">
        <v>661</v>
      </c>
    </row>
    <row r="266" spans="1:9" ht="21.95" customHeight="1" x14ac:dyDescent="0.3">
      <c r="A266">
        <v>2109864219</v>
      </c>
      <c r="B266" s="6" t="s">
        <v>186</v>
      </c>
      <c r="C266" s="6" t="s">
        <v>186</v>
      </c>
      <c r="D266" s="6" t="s">
        <v>297</v>
      </c>
      <c r="E266" s="7" t="s">
        <v>298</v>
      </c>
      <c r="F266" s="8">
        <v>0</v>
      </c>
      <c r="G266" s="8">
        <v>0</v>
      </c>
      <c r="H266" s="6" t="s">
        <v>299</v>
      </c>
      <c r="I266" s="9" t="s">
        <v>662</v>
      </c>
    </row>
    <row r="267" spans="1:9" ht="21.95" customHeight="1" x14ac:dyDescent="0.3">
      <c r="A267">
        <v>10838734</v>
      </c>
      <c r="B267" s="2" t="s">
        <v>187</v>
      </c>
      <c r="C267" s="2" t="s">
        <v>187</v>
      </c>
      <c r="D267" s="2" t="s">
        <v>246</v>
      </c>
      <c r="E267" s="3" t="s">
        <v>291</v>
      </c>
      <c r="F267" s="4">
        <v>0</v>
      </c>
      <c r="G267" s="4">
        <v>0</v>
      </c>
      <c r="H267" s="2" t="s">
        <v>248</v>
      </c>
      <c r="I267" s="5" t="s">
        <v>663</v>
      </c>
    </row>
    <row r="268" spans="1:9" ht="21.95" customHeight="1" x14ac:dyDescent="0.3">
      <c r="B268" s="6" t="s">
        <v>664</v>
      </c>
      <c r="C268" s="6"/>
      <c r="D268" s="6" t="s">
        <v>297</v>
      </c>
      <c r="E268" s="7" t="s">
        <v>298</v>
      </c>
      <c r="F268" s="8">
        <v>0</v>
      </c>
      <c r="G268" s="8">
        <v>0</v>
      </c>
      <c r="H268" s="6" t="s">
        <v>299</v>
      </c>
      <c r="I268" s="9"/>
    </row>
    <row r="269" spans="1:9" ht="21.95" customHeight="1" x14ac:dyDescent="0.3">
      <c r="A269">
        <v>1147568611</v>
      </c>
      <c r="B269" s="2" t="s">
        <v>188</v>
      </c>
      <c r="C269" s="2" t="s">
        <v>188</v>
      </c>
      <c r="D269" s="2" t="s">
        <v>285</v>
      </c>
      <c r="E269" s="3" t="s">
        <v>420</v>
      </c>
      <c r="F269" s="4">
        <v>10000</v>
      </c>
      <c r="G269" s="4">
        <v>35000</v>
      </c>
      <c r="H269" s="2" t="s">
        <v>287</v>
      </c>
      <c r="I269" s="5" t="s">
        <v>665</v>
      </c>
    </row>
    <row r="270" spans="1:9" ht="21.95" customHeight="1" x14ac:dyDescent="0.3">
      <c r="A270">
        <v>1691801060</v>
      </c>
      <c r="B270" s="6" t="s">
        <v>666</v>
      </c>
      <c r="C270" s="6" t="s">
        <v>666</v>
      </c>
      <c r="D270" s="6" t="s">
        <v>246</v>
      </c>
      <c r="E270" s="7" t="s">
        <v>255</v>
      </c>
      <c r="F270" s="8">
        <v>0</v>
      </c>
      <c r="G270" s="8">
        <v>0</v>
      </c>
      <c r="H270" s="6" t="s">
        <v>248</v>
      </c>
      <c r="I270" s="9" t="s">
        <v>667</v>
      </c>
    </row>
    <row r="271" spans="1:9" ht="21.95" customHeight="1" x14ac:dyDescent="0.3">
      <c r="A271">
        <v>8582434</v>
      </c>
      <c r="B271" s="2" t="s">
        <v>189</v>
      </c>
      <c r="C271" s="2" t="s">
        <v>189</v>
      </c>
      <c r="D271" s="2" t="s">
        <v>266</v>
      </c>
      <c r="E271" s="3" t="s">
        <v>316</v>
      </c>
      <c r="F271" s="4">
        <v>1000</v>
      </c>
      <c r="G271" s="4">
        <v>5000</v>
      </c>
      <c r="H271" s="2" t="s">
        <v>268</v>
      </c>
      <c r="I271" s="5" t="s">
        <v>668</v>
      </c>
    </row>
    <row r="272" spans="1:9" ht="21.95" customHeight="1" x14ac:dyDescent="0.3">
      <c r="A272">
        <v>666479885</v>
      </c>
      <c r="B272" s="6" t="s">
        <v>669</v>
      </c>
      <c r="C272" s="6" t="s">
        <v>669</v>
      </c>
      <c r="D272" s="6" t="s">
        <v>246</v>
      </c>
      <c r="E272" s="7" t="s">
        <v>247</v>
      </c>
      <c r="F272" s="8">
        <v>0</v>
      </c>
      <c r="G272" s="8">
        <v>0</v>
      </c>
      <c r="H272" s="6" t="s">
        <v>248</v>
      </c>
      <c r="I272" s="9" t="s">
        <v>670</v>
      </c>
    </row>
    <row r="273" spans="1:9" ht="21.95" customHeight="1" x14ac:dyDescent="0.3">
      <c r="A273">
        <v>1423911353</v>
      </c>
      <c r="B273" s="2" t="s">
        <v>671</v>
      </c>
      <c r="C273" s="2" t="s">
        <v>671</v>
      </c>
      <c r="D273" s="2" t="s">
        <v>285</v>
      </c>
      <c r="E273" s="3" t="s">
        <v>361</v>
      </c>
      <c r="F273" s="4">
        <v>10000</v>
      </c>
      <c r="G273" s="4">
        <v>35000</v>
      </c>
      <c r="H273" s="2" t="s">
        <v>287</v>
      </c>
      <c r="I273" s="5" t="s">
        <v>672</v>
      </c>
    </row>
    <row r="274" spans="1:9" ht="21.95" customHeight="1" x14ac:dyDescent="0.3">
      <c r="A274">
        <v>14752201</v>
      </c>
      <c r="B274" s="6" t="s">
        <v>190</v>
      </c>
      <c r="C274" s="6" t="s">
        <v>190</v>
      </c>
      <c r="D274" s="6" t="s">
        <v>246</v>
      </c>
      <c r="E274" s="7" t="s">
        <v>255</v>
      </c>
      <c r="F274" s="8">
        <v>0</v>
      </c>
      <c r="G274" s="8">
        <v>0</v>
      </c>
      <c r="H274" s="6" t="s">
        <v>248</v>
      </c>
      <c r="I274" s="9" t="s">
        <v>673</v>
      </c>
    </row>
    <row r="275" spans="1:9" ht="21.95" customHeight="1" x14ac:dyDescent="0.3">
      <c r="A275">
        <v>18896036</v>
      </c>
      <c r="B275" s="2" t="s">
        <v>674</v>
      </c>
      <c r="C275" s="2" t="s">
        <v>675</v>
      </c>
      <c r="D275" s="2" t="s">
        <v>246</v>
      </c>
      <c r="E275" s="3" t="s">
        <v>247</v>
      </c>
      <c r="F275" s="4">
        <v>0</v>
      </c>
      <c r="G275" s="4">
        <v>0</v>
      </c>
      <c r="H275" s="2" t="s">
        <v>248</v>
      </c>
      <c r="I275" s="5" t="s">
        <v>676</v>
      </c>
    </row>
    <row r="276" spans="1:9" ht="21.95" customHeight="1" x14ac:dyDescent="0.3">
      <c r="A276">
        <v>15166415</v>
      </c>
      <c r="B276" s="6" t="s">
        <v>677</v>
      </c>
      <c r="C276" s="6" t="s">
        <v>677</v>
      </c>
      <c r="D276" s="6" t="s">
        <v>246</v>
      </c>
      <c r="E276" s="7" t="s">
        <v>255</v>
      </c>
      <c r="F276" s="8">
        <v>0</v>
      </c>
      <c r="G276" s="8">
        <v>0</v>
      </c>
      <c r="H276" s="6" t="s">
        <v>248</v>
      </c>
      <c r="I276" s="9" t="s">
        <v>678</v>
      </c>
    </row>
    <row r="277" spans="1:9" ht="21.95" customHeight="1" x14ac:dyDescent="0.3">
      <c r="A277">
        <v>8112646</v>
      </c>
      <c r="B277" s="2" t="s">
        <v>191</v>
      </c>
      <c r="C277" s="2" t="s">
        <v>191</v>
      </c>
      <c r="D277" s="2" t="s">
        <v>246</v>
      </c>
      <c r="E277" s="3" t="s">
        <v>255</v>
      </c>
      <c r="F277" s="4">
        <v>0</v>
      </c>
      <c r="G277" s="4">
        <v>0</v>
      </c>
      <c r="H277" s="2" t="s">
        <v>248</v>
      </c>
      <c r="I277" s="5" t="s">
        <v>679</v>
      </c>
    </row>
    <row r="278" spans="1:9" ht="21.95" customHeight="1" x14ac:dyDescent="0.3">
      <c r="A278">
        <v>26953117</v>
      </c>
      <c r="B278" s="6" t="s">
        <v>680</v>
      </c>
      <c r="C278" s="6" t="s">
        <v>680</v>
      </c>
      <c r="D278" s="6" t="s">
        <v>246</v>
      </c>
      <c r="E278" s="7" t="s">
        <v>255</v>
      </c>
      <c r="F278" s="8">
        <v>0</v>
      </c>
      <c r="G278" s="8">
        <v>0</v>
      </c>
      <c r="H278" s="6" t="s">
        <v>248</v>
      </c>
      <c r="I278" s="9" t="s">
        <v>681</v>
      </c>
    </row>
    <row r="279" spans="1:9" ht="21.95" customHeight="1" x14ac:dyDescent="0.3">
      <c r="A279">
        <v>1654875200</v>
      </c>
      <c r="B279" s="2" t="s">
        <v>192</v>
      </c>
      <c r="C279" s="2" t="s">
        <v>192</v>
      </c>
      <c r="D279" s="2" t="s">
        <v>246</v>
      </c>
      <c r="E279" s="3" t="s">
        <v>255</v>
      </c>
      <c r="F279" s="4">
        <v>0</v>
      </c>
      <c r="G279" s="4">
        <v>0</v>
      </c>
      <c r="H279" s="2" t="s">
        <v>248</v>
      </c>
      <c r="I279" s="5" t="s">
        <v>682</v>
      </c>
    </row>
    <row r="280" spans="1:9" ht="21.95" customHeight="1" x14ac:dyDescent="0.3">
      <c r="A280">
        <v>8108945</v>
      </c>
      <c r="B280" s="6" t="s">
        <v>193</v>
      </c>
      <c r="C280" s="6" t="s">
        <v>193</v>
      </c>
      <c r="D280" s="6" t="s">
        <v>250</v>
      </c>
      <c r="E280" s="7" t="s">
        <v>251</v>
      </c>
      <c r="F280" s="8">
        <v>2000</v>
      </c>
      <c r="G280" s="8">
        <v>10000</v>
      </c>
      <c r="H280" s="6" t="s">
        <v>252</v>
      </c>
      <c r="I280" s="9" t="s">
        <v>683</v>
      </c>
    </row>
    <row r="281" spans="1:9" ht="21.95" customHeight="1" x14ac:dyDescent="0.3">
      <c r="A281">
        <v>9502192</v>
      </c>
      <c r="B281" s="2" t="s">
        <v>684</v>
      </c>
      <c r="C281" s="2" t="s">
        <v>684</v>
      </c>
      <c r="D281" s="2" t="s">
        <v>246</v>
      </c>
      <c r="E281" s="3" t="s">
        <v>255</v>
      </c>
      <c r="F281" s="4">
        <v>0</v>
      </c>
      <c r="G281" s="4">
        <v>0</v>
      </c>
      <c r="H281" s="2" t="s">
        <v>248</v>
      </c>
      <c r="I281" s="5" t="s">
        <v>685</v>
      </c>
    </row>
    <row r="282" spans="1:9" ht="21.95" customHeight="1" x14ac:dyDescent="0.3">
      <c r="A282">
        <v>27136433</v>
      </c>
      <c r="B282" s="6" t="s">
        <v>686</v>
      </c>
      <c r="C282" s="6" t="s">
        <v>686</v>
      </c>
      <c r="D282" s="6" t="s">
        <v>242</v>
      </c>
      <c r="E282" s="7" t="s">
        <v>351</v>
      </c>
      <c r="F282" s="8">
        <v>8000</v>
      </c>
      <c r="G282" s="8">
        <v>20000</v>
      </c>
      <c r="H282" s="6" t="s">
        <v>243</v>
      </c>
      <c r="I282" s="9" t="s">
        <v>687</v>
      </c>
    </row>
    <row r="283" spans="1:9" ht="21.95" customHeight="1" x14ac:dyDescent="0.3">
      <c r="A283">
        <v>1232921652</v>
      </c>
      <c r="B283" s="2" t="s">
        <v>194</v>
      </c>
      <c r="C283" s="2" t="s">
        <v>194</v>
      </c>
      <c r="D283" s="2" t="s">
        <v>246</v>
      </c>
      <c r="E283" s="3" t="s">
        <v>247</v>
      </c>
      <c r="F283" s="4">
        <v>0</v>
      </c>
      <c r="G283" s="4">
        <v>0</v>
      </c>
      <c r="H283" s="2" t="s">
        <v>248</v>
      </c>
      <c r="I283" s="5" t="s">
        <v>688</v>
      </c>
    </row>
    <row r="284" spans="1:9" ht="21.95" customHeight="1" x14ac:dyDescent="0.3">
      <c r="A284">
        <v>397125585</v>
      </c>
      <c r="B284" s="6" t="s">
        <v>689</v>
      </c>
      <c r="C284" s="6" t="s">
        <v>689</v>
      </c>
      <c r="D284" s="6" t="s">
        <v>246</v>
      </c>
      <c r="E284" s="7" t="s">
        <v>255</v>
      </c>
      <c r="F284" s="8">
        <v>0</v>
      </c>
      <c r="G284" s="8">
        <v>0</v>
      </c>
      <c r="H284" s="6" t="s">
        <v>248</v>
      </c>
      <c r="I284" s="9" t="s">
        <v>690</v>
      </c>
    </row>
    <row r="285" spans="1:9" ht="21.95" customHeight="1" x14ac:dyDescent="0.3">
      <c r="A285">
        <v>26953044</v>
      </c>
      <c r="B285" s="2" t="s">
        <v>691</v>
      </c>
      <c r="C285" s="2" t="s">
        <v>691</v>
      </c>
      <c r="D285" s="2" t="s">
        <v>246</v>
      </c>
      <c r="E285" s="3" t="s">
        <v>247</v>
      </c>
      <c r="F285" s="4">
        <v>0</v>
      </c>
      <c r="G285" s="4">
        <v>0</v>
      </c>
      <c r="H285" s="2" t="s">
        <v>248</v>
      </c>
      <c r="I285" s="5" t="s">
        <v>692</v>
      </c>
    </row>
    <row r="286" spans="1:9" ht="21.95" customHeight="1" x14ac:dyDescent="0.3">
      <c r="A286">
        <v>17384874</v>
      </c>
      <c r="B286" s="6" t="s">
        <v>195</v>
      </c>
      <c r="C286" s="6" t="s">
        <v>195</v>
      </c>
      <c r="D286" s="6" t="s">
        <v>246</v>
      </c>
      <c r="E286" s="7" t="s">
        <v>255</v>
      </c>
      <c r="F286" s="8">
        <v>0</v>
      </c>
      <c r="G286" s="8">
        <v>0</v>
      </c>
      <c r="H286" s="6" t="s">
        <v>248</v>
      </c>
      <c r="I286" s="9" t="s">
        <v>693</v>
      </c>
    </row>
    <row r="287" spans="1:9" ht="21.95" customHeight="1" x14ac:dyDescent="0.3">
      <c r="A287">
        <v>583492333</v>
      </c>
      <c r="B287" s="2" t="s">
        <v>694</v>
      </c>
      <c r="C287" s="2" t="s">
        <v>694</v>
      </c>
      <c r="D287" s="2" t="s">
        <v>242</v>
      </c>
      <c r="E287" s="3" t="s">
        <v>351</v>
      </c>
      <c r="F287" s="4">
        <v>8000</v>
      </c>
      <c r="G287" s="4">
        <v>20000</v>
      </c>
      <c r="H287" s="2" t="s">
        <v>243</v>
      </c>
      <c r="I287" s="5" t="s">
        <v>695</v>
      </c>
    </row>
    <row r="288" spans="1:9" ht="21.95" customHeight="1" x14ac:dyDescent="0.3">
      <c r="A288">
        <v>8574564</v>
      </c>
      <c r="B288" s="6" t="s">
        <v>696</v>
      </c>
      <c r="C288" s="6" t="s">
        <v>393</v>
      </c>
      <c r="D288" s="6" t="s">
        <v>246</v>
      </c>
      <c r="E288" s="7" t="s">
        <v>247</v>
      </c>
      <c r="F288" s="8">
        <v>0</v>
      </c>
      <c r="G288" s="8">
        <v>0</v>
      </c>
      <c r="H288" s="6" t="s">
        <v>248</v>
      </c>
      <c r="I288" s="9" t="s">
        <v>394</v>
      </c>
    </row>
    <row r="289" spans="1:9" ht="21.95" customHeight="1" x14ac:dyDescent="0.3">
      <c r="A289">
        <v>1822043453</v>
      </c>
      <c r="B289" s="2" t="s">
        <v>697</v>
      </c>
      <c r="C289" s="2" t="s">
        <v>698</v>
      </c>
      <c r="D289" s="2" t="s">
        <v>266</v>
      </c>
      <c r="E289" s="3" t="s">
        <v>316</v>
      </c>
      <c r="F289" s="4">
        <v>1000</v>
      </c>
      <c r="G289" s="4">
        <v>5000</v>
      </c>
      <c r="H289" s="2" t="s">
        <v>268</v>
      </c>
      <c r="I289" s="5" t="s">
        <v>699</v>
      </c>
    </row>
    <row r="290" spans="1:9" ht="21.95" customHeight="1" x14ac:dyDescent="0.3">
      <c r="A290">
        <v>12611296</v>
      </c>
      <c r="B290" s="6" t="s">
        <v>196</v>
      </c>
      <c r="C290" s="6" t="s">
        <v>700</v>
      </c>
      <c r="D290" s="6" t="s">
        <v>246</v>
      </c>
      <c r="E290" s="7" t="s">
        <v>247</v>
      </c>
      <c r="F290" s="8">
        <v>0</v>
      </c>
      <c r="G290" s="8">
        <v>0</v>
      </c>
      <c r="H290" s="6" t="s">
        <v>248</v>
      </c>
      <c r="I290" s="9" t="s">
        <v>701</v>
      </c>
    </row>
    <row r="291" spans="1:9" ht="21.95" customHeight="1" x14ac:dyDescent="0.3">
      <c r="A291">
        <v>15145421</v>
      </c>
      <c r="B291" s="2" t="s">
        <v>702</v>
      </c>
      <c r="C291" s="2" t="s">
        <v>702</v>
      </c>
      <c r="D291" s="2" t="s">
        <v>246</v>
      </c>
      <c r="E291" s="3" t="s">
        <v>247</v>
      </c>
      <c r="F291" s="4">
        <v>0</v>
      </c>
      <c r="G291" s="4">
        <v>0</v>
      </c>
      <c r="H291" s="2" t="s">
        <v>248</v>
      </c>
      <c r="I291" s="5" t="s">
        <v>703</v>
      </c>
    </row>
    <row r="292" spans="1:9" ht="21.95" customHeight="1" x14ac:dyDescent="0.3">
      <c r="A292">
        <v>8119283</v>
      </c>
      <c r="B292" s="6" t="s">
        <v>197</v>
      </c>
      <c r="C292" s="6" t="s">
        <v>704</v>
      </c>
      <c r="D292" s="6" t="s">
        <v>246</v>
      </c>
      <c r="E292" s="7" t="s">
        <v>291</v>
      </c>
      <c r="F292" s="8">
        <v>0</v>
      </c>
      <c r="G292" s="8">
        <v>0</v>
      </c>
      <c r="H292" s="6" t="s">
        <v>248</v>
      </c>
      <c r="I292" s="9" t="s">
        <v>705</v>
      </c>
    </row>
    <row r="293" spans="1:9" ht="21.95" customHeight="1" x14ac:dyDescent="0.3">
      <c r="A293">
        <v>1219250209</v>
      </c>
      <c r="B293" s="2" t="s">
        <v>198</v>
      </c>
      <c r="C293" s="2" t="s">
        <v>198</v>
      </c>
      <c r="D293" s="2" t="s">
        <v>242</v>
      </c>
      <c r="E293" s="3" t="s">
        <v>351</v>
      </c>
      <c r="F293" s="4">
        <v>8000</v>
      </c>
      <c r="G293" s="4">
        <v>20000</v>
      </c>
      <c r="H293" s="2" t="s">
        <v>243</v>
      </c>
      <c r="I293" s="5" t="s">
        <v>706</v>
      </c>
    </row>
    <row r="294" spans="1:9" ht="21.95" customHeight="1" x14ac:dyDescent="0.3">
      <c r="A294">
        <v>1219060080</v>
      </c>
      <c r="B294" s="6" t="s">
        <v>707</v>
      </c>
      <c r="C294" s="6" t="s">
        <v>707</v>
      </c>
      <c r="D294" s="6" t="s">
        <v>242</v>
      </c>
      <c r="E294" s="7" t="s">
        <v>351</v>
      </c>
      <c r="F294" s="8">
        <v>8000</v>
      </c>
      <c r="G294" s="8">
        <v>20000</v>
      </c>
      <c r="H294" s="6" t="s">
        <v>243</v>
      </c>
      <c r="I294" s="9" t="s">
        <v>708</v>
      </c>
    </row>
    <row r="295" spans="1:9" ht="21.95" customHeight="1" x14ac:dyDescent="0.3">
      <c r="A295">
        <v>12697671</v>
      </c>
      <c r="B295" s="2" t="s">
        <v>199</v>
      </c>
      <c r="C295" s="2" t="s">
        <v>199</v>
      </c>
      <c r="D295" s="2" t="s">
        <v>242</v>
      </c>
      <c r="E295" s="3" t="s">
        <v>351</v>
      </c>
      <c r="F295" s="4">
        <v>8000</v>
      </c>
      <c r="G295" s="4">
        <v>20000</v>
      </c>
      <c r="H295" s="2" t="s">
        <v>243</v>
      </c>
      <c r="I295" s="5" t="s">
        <v>709</v>
      </c>
    </row>
    <row r="296" spans="1:9" ht="21.95" customHeight="1" x14ac:dyDescent="0.3">
      <c r="A296">
        <v>1523943853</v>
      </c>
      <c r="B296" s="6" t="s">
        <v>710</v>
      </c>
      <c r="C296" s="6" t="s">
        <v>711</v>
      </c>
      <c r="D296" s="6" t="s">
        <v>246</v>
      </c>
      <c r="E296" s="7" t="s">
        <v>247</v>
      </c>
      <c r="F296" s="8">
        <v>0</v>
      </c>
      <c r="G296" s="8">
        <v>0</v>
      </c>
      <c r="H296" s="6" t="s">
        <v>248</v>
      </c>
      <c r="I296" s="9" t="s">
        <v>712</v>
      </c>
    </row>
    <row r="297" spans="1:9" ht="21.95" customHeight="1" x14ac:dyDescent="0.3">
      <c r="A297">
        <v>10866772</v>
      </c>
      <c r="B297" s="2" t="s">
        <v>200</v>
      </c>
      <c r="C297" s="2" t="s">
        <v>200</v>
      </c>
      <c r="D297" s="2" t="s">
        <v>246</v>
      </c>
      <c r="E297" s="3" t="s">
        <v>247</v>
      </c>
      <c r="F297" s="4">
        <v>0</v>
      </c>
      <c r="G297" s="4">
        <v>0</v>
      </c>
      <c r="H297" s="2" t="s">
        <v>248</v>
      </c>
      <c r="I297" s="5" t="s">
        <v>713</v>
      </c>
    </row>
    <row r="298" spans="1:9" ht="21.95" customHeight="1" x14ac:dyDescent="0.3">
      <c r="A298">
        <v>24994634</v>
      </c>
      <c r="B298" s="6" t="s">
        <v>201</v>
      </c>
      <c r="C298" s="6" t="s">
        <v>201</v>
      </c>
      <c r="D298" s="6" t="s">
        <v>246</v>
      </c>
      <c r="E298" s="7" t="s">
        <v>255</v>
      </c>
      <c r="F298" s="8">
        <v>0</v>
      </c>
      <c r="G298" s="8">
        <v>0</v>
      </c>
      <c r="H298" s="6" t="s">
        <v>248</v>
      </c>
      <c r="I298" s="9" t="s">
        <v>714</v>
      </c>
    </row>
    <row r="299" spans="1:9" ht="21.95" customHeight="1" x14ac:dyDescent="0.3">
      <c r="A299">
        <v>8655510</v>
      </c>
      <c r="B299" s="2" t="s">
        <v>202</v>
      </c>
      <c r="C299" s="2" t="s">
        <v>715</v>
      </c>
      <c r="D299" s="2" t="s">
        <v>266</v>
      </c>
      <c r="E299" s="3" t="s">
        <v>316</v>
      </c>
      <c r="F299" s="4">
        <v>1000</v>
      </c>
      <c r="G299" s="4">
        <v>5000</v>
      </c>
      <c r="H299" s="2" t="s">
        <v>268</v>
      </c>
      <c r="I299" s="5" t="s">
        <v>716</v>
      </c>
    </row>
    <row r="300" spans="1:9" ht="21.95" customHeight="1" x14ac:dyDescent="0.3">
      <c r="A300">
        <v>8628089</v>
      </c>
      <c r="B300" s="6" t="s">
        <v>203</v>
      </c>
      <c r="C300" s="6" t="s">
        <v>203</v>
      </c>
      <c r="D300" s="6" t="s">
        <v>246</v>
      </c>
      <c r="E300" s="7" t="s">
        <v>247</v>
      </c>
      <c r="F300" s="8">
        <v>0</v>
      </c>
      <c r="G300" s="8">
        <v>0</v>
      </c>
      <c r="H300" s="6" t="s">
        <v>248</v>
      </c>
      <c r="I300" s="9" t="s">
        <v>717</v>
      </c>
    </row>
    <row r="301" spans="1:9" ht="21.95" customHeight="1" x14ac:dyDescent="0.3">
      <c r="A301">
        <v>10171013</v>
      </c>
      <c r="B301" s="2" t="s">
        <v>204</v>
      </c>
      <c r="C301" s="2" t="s">
        <v>718</v>
      </c>
      <c r="D301" s="2" t="s">
        <v>246</v>
      </c>
      <c r="E301" s="3" t="s">
        <v>247</v>
      </c>
      <c r="F301" s="4">
        <v>0</v>
      </c>
      <c r="G301" s="4">
        <v>0</v>
      </c>
      <c r="H301" s="2" t="s">
        <v>248</v>
      </c>
      <c r="I301" s="5" t="s">
        <v>719</v>
      </c>
    </row>
    <row r="302" spans="1:9" ht="21.95" customHeight="1" x14ac:dyDescent="0.3">
      <c r="A302">
        <v>11436633</v>
      </c>
      <c r="B302" s="6" t="s">
        <v>720</v>
      </c>
      <c r="C302" s="6" t="s">
        <v>720</v>
      </c>
      <c r="D302" s="6" t="s">
        <v>246</v>
      </c>
      <c r="E302" s="7" t="s">
        <v>255</v>
      </c>
      <c r="F302" s="8">
        <v>0</v>
      </c>
      <c r="G302" s="8">
        <v>0</v>
      </c>
      <c r="H302" s="6" t="s">
        <v>248</v>
      </c>
      <c r="I302" s="9" t="s">
        <v>721</v>
      </c>
    </row>
    <row r="303" spans="1:9" ht="21.95" customHeight="1" x14ac:dyDescent="0.3">
      <c r="A303">
        <v>26577924</v>
      </c>
      <c r="B303" s="2" t="s">
        <v>722</v>
      </c>
      <c r="C303" s="2" t="s">
        <v>722</v>
      </c>
      <c r="D303" s="2" t="s">
        <v>250</v>
      </c>
      <c r="E303" s="3" t="s">
        <v>251</v>
      </c>
      <c r="F303" s="4">
        <v>2000</v>
      </c>
      <c r="G303" s="4">
        <v>10000</v>
      </c>
      <c r="H303" s="2" t="s">
        <v>252</v>
      </c>
      <c r="I303" s="5" t="s">
        <v>723</v>
      </c>
    </row>
    <row r="304" spans="1:9" ht="21.95" customHeight="1" x14ac:dyDescent="0.3">
      <c r="A304">
        <v>8599511</v>
      </c>
      <c r="B304" s="6" t="s">
        <v>205</v>
      </c>
      <c r="C304" s="6" t="s">
        <v>205</v>
      </c>
      <c r="D304" s="6" t="s">
        <v>246</v>
      </c>
      <c r="E304" s="7" t="s">
        <v>247</v>
      </c>
      <c r="F304" s="8">
        <v>0</v>
      </c>
      <c r="G304" s="8">
        <v>0</v>
      </c>
      <c r="H304" s="6" t="s">
        <v>248</v>
      </c>
      <c r="I304" s="9" t="s">
        <v>724</v>
      </c>
    </row>
    <row r="305" spans="1:9" ht="21.95" customHeight="1" x14ac:dyDescent="0.3">
      <c r="A305">
        <v>1453704804</v>
      </c>
      <c r="B305" s="2" t="s">
        <v>206</v>
      </c>
      <c r="C305" s="2" t="s">
        <v>206</v>
      </c>
      <c r="D305" s="2" t="s">
        <v>285</v>
      </c>
      <c r="E305" s="3" t="s">
        <v>725</v>
      </c>
      <c r="F305" s="4">
        <v>10000</v>
      </c>
      <c r="G305" s="4">
        <v>35000</v>
      </c>
      <c r="H305" s="2" t="s">
        <v>287</v>
      </c>
      <c r="I305" s="5" t="s">
        <v>726</v>
      </c>
    </row>
    <row r="306" spans="1:9" ht="21.95" customHeight="1" x14ac:dyDescent="0.3">
      <c r="A306">
        <v>12340047</v>
      </c>
      <c r="B306" s="6" t="s">
        <v>727</v>
      </c>
      <c r="C306" s="6" t="s">
        <v>727</v>
      </c>
      <c r="D306" s="6" t="s">
        <v>238</v>
      </c>
      <c r="E306" s="7" t="s">
        <v>239</v>
      </c>
      <c r="F306" s="8">
        <v>0</v>
      </c>
      <c r="G306" s="8">
        <v>3000</v>
      </c>
      <c r="H306" s="6" t="s">
        <v>240</v>
      </c>
      <c r="I306" s="9" t="s">
        <v>728</v>
      </c>
    </row>
    <row r="307" spans="1:9" ht="21.95" customHeight="1" x14ac:dyDescent="0.3">
      <c r="A307">
        <v>8142162</v>
      </c>
      <c r="B307" s="2" t="s">
        <v>207</v>
      </c>
      <c r="C307" s="2" t="s">
        <v>207</v>
      </c>
      <c r="D307" s="2" t="s">
        <v>246</v>
      </c>
      <c r="E307" s="3" t="s">
        <v>255</v>
      </c>
      <c r="F307" s="4">
        <v>0</v>
      </c>
      <c r="G307" s="4">
        <v>0</v>
      </c>
      <c r="H307" s="2" t="s">
        <v>248</v>
      </c>
      <c r="I307" s="5" t="s">
        <v>729</v>
      </c>
    </row>
    <row r="308" spans="1:9" ht="21.95" customHeight="1" x14ac:dyDescent="0.3">
      <c r="A308">
        <v>14918317</v>
      </c>
      <c r="B308" s="6" t="s">
        <v>208</v>
      </c>
      <c r="C308" s="6" t="s">
        <v>730</v>
      </c>
      <c r="D308" s="6" t="s">
        <v>246</v>
      </c>
      <c r="E308" s="7" t="s">
        <v>247</v>
      </c>
      <c r="F308" s="8">
        <v>0</v>
      </c>
      <c r="G308" s="8">
        <v>0</v>
      </c>
      <c r="H308" s="6" t="s">
        <v>248</v>
      </c>
      <c r="I308" s="9" t="s">
        <v>731</v>
      </c>
    </row>
    <row r="309" spans="1:9" ht="21.95" customHeight="1" x14ac:dyDescent="0.3">
      <c r="A309">
        <v>25618877</v>
      </c>
      <c r="B309" s="2" t="s">
        <v>732</v>
      </c>
      <c r="C309" s="2" t="s">
        <v>732</v>
      </c>
      <c r="D309" s="2" t="s">
        <v>246</v>
      </c>
      <c r="E309" s="3" t="s">
        <v>255</v>
      </c>
      <c r="F309" s="4">
        <v>0</v>
      </c>
      <c r="G309" s="4">
        <v>0</v>
      </c>
      <c r="H309" s="2" t="s">
        <v>248</v>
      </c>
      <c r="I309" s="5" t="s">
        <v>733</v>
      </c>
    </row>
    <row r="310" spans="1:9" ht="21.95" customHeight="1" x14ac:dyDescent="0.3">
      <c r="A310">
        <v>8164763</v>
      </c>
      <c r="B310" s="6" t="s">
        <v>209</v>
      </c>
      <c r="C310" s="6" t="s">
        <v>209</v>
      </c>
      <c r="D310" s="6" t="s">
        <v>246</v>
      </c>
      <c r="E310" s="7" t="s">
        <v>255</v>
      </c>
      <c r="F310" s="8">
        <v>0</v>
      </c>
      <c r="G310" s="8">
        <v>0</v>
      </c>
      <c r="H310" s="6" t="s">
        <v>248</v>
      </c>
      <c r="I310" s="9" t="s">
        <v>734</v>
      </c>
    </row>
    <row r="311" spans="1:9" ht="21.95" customHeight="1" x14ac:dyDescent="0.3">
      <c r="A311">
        <v>92514913</v>
      </c>
      <c r="B311" s="2" t="s">
        <v>735</v>
      </c>
      <c r="C311" s="2" t="s">
        <v>735</v>
      </c>
      <c r="D311" s="2" t="s">
        <v>246</v>
      </c>
      <c r="E311" s="3" t="s">
        <v>255</v>
      </c>
      <c r="F311" s="4">
        <v>0</v>
      </c>
      <c r="G311" s="4">
        <v>0</v>
      </c>
      <c r="H311" s="2" t="s">
        <v>248</v>
      </c>
      <c r="I311" s="5" t="s">
        <v>736</v>
      </c>
    </row>
    <row r="312" spans="1:9" ht="21.95" customHeight="1" x14ac:dyDescent="0.3">
      <c r="A312">
        <v>1401522350</v>
      </c>
      <c r="B312" s="6" t="s">
        <v>737</v>
      </c>
      <c r="C312" s="6" t="s">
        <v>737</v>
      </c>
      <c r="D312" s="6" t="s">
        <v>242</v>
      </c>
      <c r="E312" s="7" t="s">
        <v>351</v>
      </c>
      <c r="F312" s="8">
        <v>8000</v>
      </c>
      <c r="G312" s="8">
        <v>20000</v>
      </c>
      <c r="H312" s="6" t="s">
        <v>243</v>
      </c>
      <c r="I312" s="9" t="s">
        <v>738</v>
      </c>
    </row>
    <row r="313" spans="1:9" ht="21.95" customHeight="1" x14ac:dyDescent="0.3">
      <c r="A313">
        <v>25626005</v>
      </c>
      <c r="B313" s="2" t="s">
        <v>210</v>
      </c>
      <c r="C313" s="2" t="s">
        <v>210</v>
      </c>
      <c r="D313" s="2" t="s">
        <v>246</v>
      </c>
      <c r="E313" s="3" t="s">
        <v>255</v>
      </c>
      <c r="F313" s="4">
        <v>0</v>
      </c>
      <c r="G313" s="4">
        <v>0</v>
      </c>
      <c r="H313" s="2" t="s">
        <v>248</v>
      </c>
      <c r="I313" s="5" t="s">
        <v>739</v>
      </c>
    </row>
    <row r="314" spans="1:9" ht="21.95" customHeight="1" x14ac:dyDescent="0.3">
      <c r="A314">
        <v>27428556</v>
      </c>
      <c r="B314" s="6" t="s">
        <v>740</v>
      </c>
      <c r="C314" s="6" t="s">
        <v>740</v>
      </c>
      <c r="D314" s="6" t="s">
        <v>246</v>
      </c>
      <c r="E314" s="7" t="s">
        <v>255</v>
      </c>
      <c r="F314" s="8">
        <v>0</v>
      </c>
      <c r="G314" s="8">
        <v>0</v>
      </c>
      <c r="H314" s="6" t="s">
        <v>248</v>
      </c>
      <c r="I314" s="9" t="s">
        <v>741</v>
      </c>
    </row>
    <row r="315" spans="1:9" ht="21.95" customHeight="1" x14ac:dyDescent="0.3">
      <c r="A315">
        <v>853600656</v>
      </c>
      <c r="B315" s="2" t="s">
        <v>742</v>
      </c>
      <c r="C315" s="2" t="s">
        <v>742</v>
      </c>
      <c r="D315" s="2" t="s">
        <v>246</v>
      </c>
      <c r="E315" s="3" t="s">
        <v>255</v>
      </c>
      <c r="F315" s="4">
        <v>0</v>
      </c>
      <c r="G315" s="4">
        <v>0</v>
      </c>
      <c r="H315" s="2" t="s">
        <v>248</v>
      </c>
      <c r="I315" s="5" t="s">
        <v>743</v>
      </c>
    </row>
    <row r="316" spans="1:9" ht="21.95" customHeight="1" x14ac:dyDescent="0.3">
      <c r="A316">
        <v>17344148</v>
      </c>
      <c r="B316" s="6" t="s">
        <v>211</v>
      </c>
      <c r="C316" s="6" t="s">
        <v>211</v>
      </c>
      <c r="D316" s="6" t="s">
        <v>246</v>
      </c>
      <c r="E316" s="7" t="s">
        <v>255</v>
      </c>
      <c r="F316" s="8">
        <v>0</v>
      </c>
      <c r="G316" s="8">
        <v>0</v>
      </c>
      <c r="H316" s="6" t="s">
        <v>248</v>
      </c>
      <c r="I316" s="9" t="s">
        <v>744</v>
      </c>
    </row>
    <row r="317" spans="1:9" ht="21.95" customHeight="1" x14ac:dyDescent="0.3">
      <c r="A317">
        <v>1661715932</v>
      </c>
      <c r="B317" s="2" t="s">
        <v>745</v>
      </c>
      <c r="C317" s="2" t="s">
        <v>745</v>
      </c>
      <c r="D317" s="2" t="s">
        <v>246</v>
      </c>
      <c r="E317" s="3" t="s">
        <v>255</v>
      </c>
      <c r="F317" s="4">
        <v>0</v>
      </c>
      <c r="G317" s="4">
        <v>0</v>
      </c>
      <c r="H317" s="2" t="s">
        <v>248</v>
      </c>
      <c r="I317" s="5" t="s">
        <v>746</v>
      </c>
    </row>
    <row r="318" spans="1:9" ht="21.95" customHeight="1" x14ac:dyDescent="0.3">
      <c r="A318">
        <v>13096082</v>
      </c>
      <c r="B318" s="6" t="s">
        <v>747</v>
      </c>
      <c r="C318" s="6" t="s">
        <v>747</v>
      </c>
      <c r="D318" s="6" t="s">
        <v>246</v>
      </c>
      <c r="E318" s="7" t="s">
        <v>291</v>
      </c>
      <c r="F318" s="8">
        <v>0</v>
      </c>
      <c r="G318" s="8">
        <v>0</v>
      </c>
      <c r="H318" s="6" t="s">
        <v>248</v>
      </c>
      <c r="I318" s="9" t="s">
        <v>748</v>
      </c>
    </row>
    <row r="319" spans="1:9" ht="21.95" customHeight="1" x14ac:dyDescent="0.3">
      <c r="A319">
        <v>24372688</v>
      </c>
      <c r="B319" s="2" t="s">
        <v>212</v>
      </c>
      <c r="C319" s="2" t="s">
        <v>212</v>
      </c>
      <c r="D319" s="2" t="s">
        <v>297</v>
      </c>
      <c r="E319" s="3" t="s">
        <v>298</v>
      </c>
      <c r="F319" s="4">
        <v>0</v>
      </c>
      <c r="G319" s="4">
        <v>0</v>
      </c>
      <c r="H319" s="2" t="s">
        <v>299</v>
      </c>
      <c r="I319" s="5" t="s">
        <v>749</v>
      </c>
    </row>
    <row r="320" spans="1:9" ht="21.95" customHeight="1" x14ac:dyDescent="0.3">
      <c r="A320">
        <v>1770086335</v>
      </c>
      <c r="B320" s="6" t="s">
        <v>213</v>
      </c>
      <c r="C320" s="6" t="s">
        <v>213</v>
      </c>
      <c r="D320" s="6" t="s">
        <v>266</v>
      </c>
      <c r="E320" s="7" t="s">
        <v>267</v>
      </c>
      <c r="F320" s="8">
        <v>1000</v>
      </c>
      <c r="G320" s="8">
        <v>5000</v>
      </c>
      <c r="H320" s="6" t="s">
        <v>268</v>
      </c>
      <c r="I320" s="9" t="s">
        <v>750</v>
      </c>
    </row>
    <row r="321" spans="1:9" ht="21.95" customHeight="1" x14ac:dyDescent="0.3">
      <c r="A321">
        <v>26163339</v>
      </c>
      <c r="B321" s="2" t="s">
        <v>214</v>
      </c>
      <c r="C321" s="2" t="s">
        <v>214</v>
      </c>
      <c r="D321" s="2" t="s">
        <v>250</v>
      </c>
      <c r="E321" s="3" t="s">
        <v>251</v>
      </c>
      <c r="F321" s="4">
        <v>2000</v>
      </c>
      <c r="G321" s="4">
        <v>10000</v>
      </c>
      <c r="H321" s="2" t="s">
        <v>252</v>
      </c>
      <c r="I321" s="5" t="s">
        <v>751</v>
      </c>
    </row>
    <row r="322" spans="1:9" ht="21.95" customHeight="1" x14ac:dyDescent="0.3">
      <c r="A322">
        <v>80140621</v>
      </c>
      <c r="B322" s="6" t="s">
        <v>215</v>
      </c>
      <c r="C322" s="6" t="s">
        <v>215</v>
      </c>
      <c r="D322" s="6" t="s">
        <v>250</v>
      </c>
      <c r="E322" s="7" t="s">
        <v>251</v>
      </c>
      <c r="F322" s="8">
        <v>2000</v>
      </c>
      <c r="G322" s="8">
        <v>10000</v>
      </c>
      <c r="H322" s="6" t="s">
        <v>252</v>
      </c>
      <c r="I322" s="9" t="s">
        <v>752</v>
      </c>
    </row>
    <row r="323" spans="1:9" ht="21.95" customHeight="1" x14ac:dyDescent="0.3">
      <c r="A323">
        <v>11205448</v>
      </c>
      <c r="B323" s="2" t="s">
        <v>216</v>
      </c>
      <c r="C323" s="2" t="s">
        <v>216</v>
      </c>
      <c r="D323" s="2" t="s">
        <v>246</v>
      </c>
      <c r="E323" s="3" t="s">
        <v>247</v>
      </c>
      <c r="F323" s="4">
        <v>0</v>
      </c>
      <c r="G323" s="4">
        <v>0</v>
      </c>
      <c r="H323" s="2" t="s">
        <v>248</v>
      </c>
      <c r="I323" s="5" t="s">
        <v>753</v>
      </c>
    </row>
    <row r="324" spans="1:9" ht="21.95" customHeight="1" x14ac:dyDescent="0.3">
      <c r="A324">
        <v>18323826</v>
      </c>
      <c r="B324" s="6" t="s">
        <v>217</v>
      </c>
      <c r="C324" s="6" t="s">
        <v>217</v>
      </c>
      <c r="D324" s="6" t="s">
        <v>246</v>
      </c>
      <c r="E324" s="7" t="s">
        <v>247</v>
      </c>
      <c r="F324" s="8">
        <v>0</v>
      </c>
      <c r="G324" s="8">
        <v>0</v>
      </c>
      <c r="H324" s="6" t="s">
        <v>248</v>
      </c>
      <c r="I324" s="9" t="s">
        <v>754</v>
      </c>
    </row>
    <row r="325" spans="1:9" ht="21.95" customHeight="1" x14ac:dyDescent="0.3">
      <c r="A325">
        <v>15171645</v>
      </c>
      <c r="B325" s="2" t="s">
        <v>218</v>
      </c>
      <c r="C325" s="2" t="s">
        <v>218</v>
      </c>
      <c r="D325" s="2" t="s">
        <v>250</v>
      </c>
      <c r="E325" s="3" t="s">
        <v>420</v>
      </c>
      <c r="F325" s="4">
        <v>2000</v>
      </c>
      <c r="G325" s="4">
        <v>10000</v>
      </c>
      <c r="H325" s="2" t="s">
        <v>252</v>
      </c>
      <c r="I325" s="5" t="s">
        <v>755</v>
      </c>
    </row>
    <row r="326" spans="1:9" ht="21.95" customHeight="1" x14ac:dyDescent="0.3">
      <c r="A326">
        <v>25632153</v>
      </c>
      <c r="B326" s="6" t="s">
        <v>756</v>
      </c>
      <c r="C326" s="6" t="s">
        <v>756</v>
      </c>
      <c r="D326" s="6" t="s">
        <v>285</v>
      </c>
      <c r="E326" s="7" t="s">
        <v>725</v>
      </c>
      <c r="F326" s="8">
        <v>10000</v>
      </c>
      <c r="G326" s="8">
        <v>35000</v>
      </c>
      <c r="H326" s="6" t="s">
        <v>287</v>
      </c>
      <c r="I326" s="9" t="s">
        <v>757</v>
      </c>
    </row>
    <row r="327" spans="1:9" ht="21.95" customHeight="1" x14ac:dyDescent="0.3">
      <c r="A327">
        <v>25022695</v>
      </c>
      <c r="B327" s="2" t="s">
        <v>219</v>
      </c>
      <c r="C327" s="2" t="s">
        <v>219</v>
      </c>
      <c r="D327" s="2" t="s">
        <v>246</v>
      </c>
      <c r="E327" s="3" t="s">
        <v>255</v>
      </c>
      <c r="F327" s="4">
        <v>0</v>
      </c>
      <c r="G327" s="4">
        <v>0</v>
      </c>
      <c r="H327" s="2" t="s">
        <v>248</v>
      </c>
      <c r="I327" s="5" t="s">
        <v>758</v>
      </c>
    </row>
    <row r="328" spans="1:9" ht="21.95" customHeight="1" x14ac:dyDescent="0.3">
      <c r="A328">
        <v>10963875</v>
      </c>
      <c r="B328" s="6" t="s">
        <v>220</v>
      </c>
      <c r="C328" s="6" t="s">
        <v>220</v>
      </c>
      <c r="D328" s="6" t="s">
        <v>246</v>
      </c>
      <c r="E328" s="7" t="s">
        <v>255</v>
      </c>
      <c r="F328" s="8">
        <v>0</v>
      </c>
      <c r="G328" s="8">
        <v>0</v>
      </c>
      <c r="H328" s="6" t="s">
        <v>248</v>
      </c>
      <c r="I328" s="9" t="s">
        <v>759</v>
      </c>
    </row>
    <row r="329" spans="1:9" ht="21.95" customHeight="1" x14ac:dyDescent="0.3">
      <c r="A329">
        <v>21054964</v>
      </c>
      <c r="B329" s="2" t="s">
        <v>760</v>
      </c>
      <c r="C329" s="2" t="s">
        <v>761</v>
      </c>
      <c r="D329" s="2" t="s">
        <v>297</v>
      </c>
      <c r="E329" s="3" t="s">
        <v>298</v>
      </c>
      <c r="F329" s="4">
        <v>0</v>
      </c>
      <c r="G329" s="4">
        <v>0</v>
      </c>
      <c r="H329" s="2" t="s">
        <v>299</v>
      </c>
      <c r="I329" s="5" t="s">
        <v>762</v>
      </c>
    </row>
    <row r="330" spans="1:9" ht="21.95" customHeight="1" x14ac:dyDescent="0.3">
      <c r="A330">
        <v>367665442</v>
      </c>
      <c r="B330" s="6" t="s">
        <v>221</v>
      </c>
      <c r="C330" s="6" t="s">
        <v>221</v>
      </c>
      <c r="D330" s="6" t="s">
        <v>285</v>
      </c>
      <c r="E330" s="7" t="s">
        <v>725</v>
      </c>
      <c r="F330" s="8">
        <v>10000</v>
      </c>
      <c r="G330" s="8">
        <v>35000</v>
      </c>
      <c r="H330" s="6" t="s">
        <v>287</v>
      </c>
      <c r="I330" s="9" t="s">
        <v>763</v>
      </c>
    </row>
    <row r="331" spans="1:9" ht="21.95" customHeight="1" x14ac:dyDescent="0.3">
      <c r="A331">
        <v>1376671961</v>
      </c>
      <c r="B331" s="2" t="s">
        <v>222</v>
      </c>
      <c r="C331" s="2" t="s">
        <v>222</v>
      </c>
      <c r="D331" s="2" t="s">
        <v>246</v>
      </c>
      <c r="E331" s="3" t="s">
        <v>247</v>
      </c>
      <c r="F331" s="4">
        <v>0</v>
      </c>
      <c r="G331" s="4">
        <v>0</v>
      </c>
      <c r="H331" s="2" t="s">
        <v>248</v>
      </c>
      <c r="I331" s="5" t="s">
        <v>764</v>
      </c>
    </row>
    <row r="332" spans="1:9" ht="21.95" customHeight="1" x14ac:dyDescent="0.3">
      <c r="A332">
        <v>156531879</v>
      </c>
      <c r="B332" s="6" t="s">
        <v>765</v>
      </c>
      <c r="C332" s="6" t="s">
        <v>765</v>
      </c>
      <c r="D332" s="6" t="s">
        <v>246</v>
      </c>
      <c r="E332" s="7" t="s">
        <v>255</v>
      </c>
      <c r="F332" s="8">
        <v>0</v>
      </c>
      <c r="G332" s="8">
        <v>0</v>
      </c>
      <c r="H332" s="6" t="s">
        <v>248</v>
      </c>
      <c r="I332" s="9" t="s">
        <v>766</v>
      </c>
    </row>
    <row r="333" spans="1:9" ht="21.95" customHeight="1" x14ac:dyDescent="0.3">
      <c r="A333">
        <v>1418934247</v>
      </c>
      <c r="B333" s="2" t="s">
        <v>767</v>
      </c>
      <c r="C333" s="2" t="s">
        <v>767</v>
      </c>
      <c r="D333" s="2" t="s">
        <v>246</v>
      </c>
      <c r="E333" s="3" t="s">
        <v>247</v>
      </c>
      <c r="F333" s="4">
        <v>0</v>
      </c>
      <c r="G333" s="4">
        <v>0</v>
      </c>
      <c r="H333" s="2" t="s">
        <v>248</v>
      </c>
      <c r="I333" s="5" t="s">
        <v>768</v>
      </c>
    </row>
    <row r="334" spans="1:9" ht="21.95" customHeight="1" x14ac:dyDescent="0.3">
      <c r="A334">
        <v>1192304085</v>
      </c>
      <c r="B334" s="6" t="s">
        <v>769</v>
      </c>
      <c r="C334" s="6" t="s">
        <v>769</v>
      </c>
      <c r="D334" s="6" t="s">
        <v>246</v>
      </c>
      <c r="E334" s="7" t="s">
        <v>247</v>
      </c>
      <c r="F334" s="8">
        <v>0</v>
      </c>
      <c r="G334" s="8">
        <v>0</v>
      </c>
      <c r="H334" s="6" t="s">
        <v>248</v>
      </c>
      <c r="I334" s="9" t="s">
        <v>770</v>
      </c>
    </row>
    <row r="335" spans="1:9" ht="21.95" customHeight="1" x14ac:dyDescent="0.3">
      <c r="A335">
        <v>10957333</v>
      </c>
      <c r="B335" s="2" t="s">
        <v>223</v>
      </c>
      <c r="C335" s="2" t="s">
        <v>223</v>
      </c>
      <c r="D335" s="2" t="s">
        <v>246</v>
      </c>
      <c r="E335" s="3" t="s">
        <v>247</v>
      </c>
      <c r="F335" s="4">
        <v>0</v>
      </c>
      <c r="G335" s="4">
        <v>0</v>
      </c>
      <c r="H335" s="2" t="s">
        <v>248</v>
      </c>
      <c r="I335" s="5" t="s">
        <v>771</v>
      </c>
    </row>
    <row r="336" spans="1:9" ht="21.95" customHeight="1" x14ac:dyDescent="0.3">
      <c r="A336">
        <v>8180160</v>
      </c>
      <c r="B336" s="6" t="s">
        <v>224</v>
      </c>
      <c r="C336" s="6" t="s">
        <v>224</v>
      </c>
      <c r="D336" s="6" t="s">
        <v>246</v>
      </c>
      <c r="E336" s="7" t="s">
        <v>291</v>
      </c>
      <c r="F336" s="8">
        <v>0</v>
      </c>
      <c r="G336" s="8">
        <v>0</v>
      </c>
      <c r="H336" s="6" t="s">
        <v>248</v>
      </c>
      <c r="I336" s="9" t="s">
        <v>772</v>
      </c>
    </row>
    <row r="337" spans="1:9" ht="21.95" customHeight="1" x14ac:dyDescent="0.3">
      <c r="A337">
        <v>11295210</v>
      </c>
      <c r="B337" s="2" t="s">
        <v>773</v>
      </c>
      <c r="C337" s="2" t="s">
        <v>773</v>
      </c>
      <c r="D337" s="2" t="s">
        <v>246</v>
      </c>
      <c r="E337" s="3" t="s">
        <v>247</v>
      </c>
      <c r="F337" s="4">
        <v>0</v>
      </c>
      <c r="G337" s="4">
        <v>0</v>
      </c>
      <c r="H337" s="2" t="s">
        <v>248</v>
      </c>
      <c r="I337" s="5" t="s">
        <v>774</v>
      </c>
    </row>
  </sheetData>
  <mergeCells count="2">
    <mergeCell ref="B1:I1"/>
    <mergeCell ref="B2:I2"/>
  </mergeCells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34"/>
  <sheetViews>
    <sheetView workbookViewId="0">
      <selection activeCell="P3" sqref="P3"/>
    </sheetView>
  </sheetViews>
  <sheetFormatPr defaultRowHeight="16.5" x14ac:dyDescent="0.3"/>
  <cols>
    <col min="12" max="12" width="11.125" style="13" customWidth="1"/>
  </cols>
  <sheetData>
    <row r="1" spans="1:18" x14ac:dyDescent="0.3">
      <c r="A1" t="s">
        <v>229</v>
      </c>
      <c r="B1" t="s">
        <v>775</v>
      </c>
      <c r="C1" t="s">
        <v>776</v>
      </c>
      <c r="D1" t="s">
        <v>777</v>
      </c>
      <c r="E1" t="s">
        <v>778</v>
      </c>
      <c r="F1" t="s">
        <v>779</v>
      </c>
      <c r="G1" t="s">
        <v>780</v>
      </c>
      <c r="H1" s="13" t="s">
        <v>230</v>
      </c>
      <c r="I1" s="13" t="s">
        <v>781</v>
      </c>
      <c r="J1" s="13" t="s">
        <v>782</v>
      </c>
      <c r="K1" s="13" t="s">
        <v>783</v>
      </c>
      <c r="L1" s="13" t="s">
        <v>1936</v>
      </c>
      <c r="M1" s="13" t="s">
        <v>784</v>
      </c>
      <c r="N1" s="13" t="s">
        <v>776</v>
      </c>
      <c r="O1" s="13" t="s">
        <v>785</v>
      </c>
      <c r="P1" s="13" t="s">
        <v>236</v>
      </c>
      <c r="Q1" s="13" t="s">
        <v>786</v>
      </c>
      <c r="R1" s="13" t="s">
        <v>787</v>
      </c>
    </row>
    <row r="2" spans="1:18" x14ac:dyDescent="0.3">
      <c r="A2" t="s">
        <v>0</v>
      </c>
      <c r="B2" t="s">
        <v>788</v>
      </c>
      <c r="C2" t="s">
        <v>789</v>
      </c>
      <c r="D2" t="s">
        <v>790</v>
      </c>
      <c r="E2">
        <v>4.7</v>
      </c>
      <c r="F2">
        <v>27</v>
      </c>
      <c r="G2">
        <v>173</v>
      </c>
      <c r="H2" s="13" t="s">
        <v>237</v>
      </c>
      <c r="I2" s="13" t="s">
        <v>791</v>
      </c>
      <c r="J2" s="13" t="s">
        <v>792</v>
      </c>
      <c r="K2" s="13" t="s">
        <v>793</v>
      </c>
      <c r="L2" s="13" t="s">
        <v>1935</v>
      </c>
      <c r="M2" s="13" t="s">
        <v>794</v>
      </c>
      <c r="N2" s="13" t="s">
        <v>789</v>
      </c>
      <c r="O2" s="13">
        <v>581024580</v>
      </c>
      <c r="P2" s="13" t="s">
        <v>241</v>
      </c>
      <c r="Q2" s="13">
        <v>128.70672287306101</v>
      </c>
      <c r="R2" s="13">
        <v>37.666838901823802</v>
      </c>
    </row>
    <row r="3" spans="1:18" x14ac:dyDescent="0.3">
      <c r="A3" t="s">
        <v>1</v>
      </c>
      <c r="B3" t="s">
        <v>795</v>
      </c>
      <c r="C3" t="s">
        <v>796</v>
      </c>
      <c r="D3" t="s">
        <v>797</v>
      </c>
      <c r="E3">
        <v>4.5</v>
      </c>
      <c r="F3">
        <v>37</v>
      </c>
      <c r="G3">
        <v>163</v>
      </c>
      <c r="H3" s="13" t="s">
        <v>1</v>
      </c>
      <c r="I3" s="13" t="s">
        <v>798</v>
      </c>
      <c r="J3" s="13" t="s">
        <v>799</v>
      </c>
      <c r="K3" s="13" t="s">
        <v>800</v>
      </c>
      <c r="L3" s="13" t="s">
        <v>1934</v>
      </c>
      <c r="M3" s="13" t="s">
        <v>801</v>
      </c>
      <c r="N3" s="13" t="s">
        <v>802</v>
      </c>
      <c r="O3" s="13">
        <v>25045748</v>
      </c>
      <c r="P3" s="13" t="s">
        <v>244</v>
      </c>
      <c r="Q3" s="13">
        <v>129.024612519534</v>
      </c>
      <c r="R3" s="13">
        <v>37.100491001509603</v>
      </c>
    </row>
    <row r="4" spans="1:18" x14ac:dyDescent="0.3">
      <c r="A4" t="s">
        <v>2</v>
      </c>
      <c r="B4" t="s">
        <v>803</v>
      </c>
      <c r="C4" t="s">
        <v>804</v>
      </c>
      <c r="D4" t="s">
        <v>805</v>
      </c>
      <c r="E4">
        <v>4.3</v>
      </c>
      <c r="F4">
        <v>63</v>
      </c>
      <c r="G4">
        <v>113</v>
      </c>
      <c r="H4" s="13" t="s">
        <v>245</v>
      </c>
      <c r="I4" s="13" t="s">
        <v>806</v>
      </c>
      <c r="J4" s="13"/>
      <c r="K4" s="13"/>
      <c r="L4" s="13" t="s">
        <v>1933</v>
      </c>
      <c r="M4" s="13"/>
      <c r="N4" s="13"/>
      <c r="O4" s="13">
        <v>1310990190</v>
      </c>
      <c r="P4" s="13" t="s">
        <v>249</v>
      </c>
      <c r="Q4" s="13">
        <v>128.817101815108</v>
      </c>
      <c r="R4" s="13">
        <v>37.912406616301197</v>
      </c>
    </row>
    <row r="5" spans="1:18" x14ac:dyDescent="0.3">
      <c r="A5" t="s">
        <v>3</v>
      </c>
      <c r="B5" t="s">
        <v>807</v>
      </c>
      <c r="C5" t="s">
        <v>808</v>
      </c>
      <c r="D5" t="s">
        <v>809</v>
      </c>
      <c r="E5">
        <v>4.5</v>
      </c>
      <c r="F5">
        <v>56</v>
      </c>
      <c r="G5">
        <v>214</v>
      </c>
      <c r="H5" s="13" t="s">
        <v>3</v>
      </c>
      <c r="I5" s="13" t="s">
        <v>810</v>
      </c>
      <c r="J5" s="13" t="s">
        <v>792</v>
      </c>
      <c r="K5" s="13" t="s">
        <v>793</v>
      </c>
      <c r="L5" s="13" t="s">
        <v>1932</v>
      </c>
      <c r="M5" s="13" t="s">
        <v>811</v>
      </c>
      <c r="N5" s="13" t="s">
        <v>812</v>
      </c>
      <c r="O5" s="13">
        <v>23794385</v>
      </c>
      <c r="P5" s="13" t="s">
        <v>253</v>
      </c>
      <c r="Q5" s="13">
        <v>128.38256802397501</v>
      </c>
      <c r="R5" s="13">
        <v>38.576255597820101</v>
      </c>
    </row>
    <row r="6" spans="1:18" x14ac:dyDescent="0.3">
      <c r="A6" t="s">
        <v>4</v>
      </c>
      <c r="B6" t="s">
        <v>813</v>
      </c>
      <c r="C6" t="s">
        <v>814</v>
      </c>
      <c r="E6">
        <v>4.3</v>
      </c>
      <c r="F6">
        <v>6</v>
      </c>
      <c r="G6">
        <v>21</v>
      </c>
      <c r="H6" s="13" t="s">
        <v>254</v>
      </c>
      <c r="I6" s="13" t="s">
        <v>815</v>
      </c>
      <c r="J6" s="13"/>
      <c r="K6" s="13"/>
      <c r="L6" s="13" t="s">
        <v>1931</v>
      </c>
      <c r="M6" s="13" t="s">
        <v>816</v>
      </c>
      <c r="N6" s="13" t="s">
        <v>814</v>
      </c>
      <c r="O6" s="13">
        <v>1389012423</v>
      </c>
      <c r="P6" s="13" t="s">
        <v>256</v>
      </c>
      <c r="Q6" s="13">
        <v>127.451235463239</v>
      </c>
      <c r="R6" s="13">
        <v>38.281017343209399</v>
      </c>
    </row>
    <row r="7" spans="1:18" x14ac:dyDescent="0.3">
      <c r="A7" t="s">
        <v>257</v>
      </c>
      <c r="B7" t="s">
        <v>817</v>
      </c>
      <c r="C7" t="s">
        <v>818</v>
      </c>
      <c r="D7" t="s">
        <v>819</v>
      </c>
      <c r="E7">
        <v>3</v>
      </c>
      <c r="F7">
        <v>1</v>
      </c>
      <c r="G7">
        <v>9</v>
      </c>
      <c r="H7" s="13" t="s">
        <v>257</v>
      </c>
      <c r="I7" s="13" t="s">
        <v>820</v>
      </c>
      <c r="J7" s="13" t="s">
        <v>799</v>
      </c>
      <c r="K7" s="13" t="s">
        <v>800</v>
      </c>
      <c r="L7" s="13" t="s">
        <v>1930</v>
      </c>
      <c r="M7" s="13" t="s">
        <v>821</v>
      </c>
      <c r="N7" s="13" t="s">
        <v>818</v>
      </c>
      <c r="O7" s="13">
        <v>26847659</v>
      </c>
      <c r="P7" s="13" t="s">
        <v>258</v>
      </c>
      <c r="Q7" s="13">
        <v>128.14541799065901</v>
      </c>
      <c r="R7" s="13">
        <v>38.290128924312597</v>
      </c>
    </row>
    <row r="8" spans="1:18" x14ac:dyDescent="0.3">
      <c r="A8" t="s">
        <v>5</v>
      </c>
      <c r="B8" t="s">
        <v>822</v>
      </c>
      <c r="C8" t="s">
        <v>823</v>
      </c>
      <c r="D8" t="s">
        <v>824</v>
      </c>
      <c r="E8">
        <v>5</v>
      </c>
      <c r="F8">
        <v>9</v>
      </c>
      <c r="G8">
        <v>27</v>
      </c>
      <c r="H8" s="13" t="s">
        <v>5</v>
      </c>
      <c r="I8" s="13" t="s">
        <v>825</v>
      </c>
      <c r="J8" s="13"/>
      <c r="K8" s="13"/>
      <c r="L8" s="13" t="s">
        <v>1929</v>
      </c>
      <c r="M8" s="13"/>
      <c r="N8" s="13" t="s">
        <v>826</v>
      </c>
      <c r="O8" s="13">
        <v>8121115</v>
      </c>
      <c r="P8" s="13" t="s">
        <v>259</v>
      </c>
      <c r="Q8" s="13">
        <v>128.160573916083</v>
      </c>
      <c r="R8" s="13">
        <v>37.831650613863999</v>
      </c>
    </row>
    <row r="9" spans="1:18" x14ac:dyDescent="0.3">
      <c r="A9" t="s">
        <v>6</v>
      </c>
      <c r="B9" t="s">
        <v>822</v>
      </c>
      <c r="C9" t="s">
        <v>827</v>
      </c>
      <c r="D9" t="s">
        <v>828</v>
      </c>
      <c r="E9">
        <v>0</v>
      </c>
      <c r="F9">
        <v>30</v>
      </c>
      <c r="G9">
        <v>86</v>
      </c>
      <c r="H9" s="13" t="s">
        <v>6</v>
      </c>
      <c r="I9" s="13" t="s">
        <v>829</v>
      </c>
      <c r="J9" s="13"/>
      <c r="K9" s="13"/>
      <c r="L9" s="13" t="s">
        <v>1928</v>
      </c>
      <c r="M9" s="13" t="s">
        <v>830</v>
      </c>
      <c r="N9" s="13" t="s">
        <v>831</v>
      </c>
      <c r="O9" s="13">
        <v>26916317</v>
      </c>
      <c r="P9" s="13" t="s">
        <v>260</v>
      </c>
      <c r="Q9" s="13">
        <v>127.981152679652</v>
      </c>
      <c r="R9" s="13">
        <v>37.865637758478201</v>
      </c>
    </row>
    <row r="10" spans="1:18" x14ac:dyDescent="0.3">
      <c r="A10" t="s">
        <v>261</v>
      </c>
      <c r="B10" t="s">
        <v>832</v>
      </c>
      <c r="C10" t="s">
        <v>833</v>
      </c>
      <c r="D10" t="s">
        <v>834</v>
      </c>
      <c r="E10">
        <v>4.4000000000000004</v>
      </c>
      <c r="F10">
        <v>7</v>
      </c>
      <c r="G10">
        <v>3</v>
      </c>
      <c r="H10" s="13" t="s">
        <v>261</v>
      </c>
      <c r="I10" s="13" t="s">
        <v>835</v>
      </c>
      <c r="J10" s="13"/>
      <c r="K10" s="13"/>
      <c r="L10" s="13" t="s">
        <v>1927</v>
      </c>
      <c r="M10" s="13" t="s">
        <v>836</v>
      </c>
      <c r="N10" s="13" t="s">
        <v>837</v>
      </c>
      <c r="O10" s="13">
        <v>8667927</v>
      </c>
      <c r="P10" s="13" t="s">
        <v>262</v>
      </c>
      <c r="Q10" s="13">
        <v>127.837015718595</v>
      </c>
      <c r="R10" s="13">
        <v>37.363405694189403</v>
      </c>
    </row>
    <row r="11" spans="1:18" x14ac:dyDescent="0.3">
      <c r="A11" t="s">
        <v>263</v>
      </c>
      <c r="B11" t="s">
        <v>838</v>
      </c>
      <c r="C11" t="s">
        <v>839</v>
      </c>
      <c r="D11" t="s">
        <v>840</v>
      </c>
      <c r="E11">
        <v>3.5</v>
      </c>
      <c r="F11">
        <v>2</v>
      </c>
      <c r="G11">
        <v>1</v>
      </c>
      <c r="H11" s="13" t="s">
        <v>263</v>
      </c>
      <c r="I11" s="13" t="s">
        <v>841</v>
      </c>
      <c r="J11" s="13"/>
      <c r="K11" s="13"/>
      <c r="L11" s="13" t="s">
        <v>1926</v>
      </c>
      <c r="M11" s="13" t="s">
        <v>842</v>
      </c>
      <c r="N11" s="13" t="s">
        <v>839</v>
      </c>
      <c r="O11" s="13">
        <v>8133638</v>
      </c>
      <c r="P11" s="13" t="s">
        <v>264</v>
      </c>
      <c r="Q11" s="13">
        <v>128.50295341588301</v>
      </c>
      <c r="R11" s="13">
        <v>37.905873460702303</v>
      </c>
    </row>
    <row r="12" spans="1:18" x14ac:dyDescent="0.3">
      <c r="A12" t="s">
        <v>7</v>
      </c>
      <c r="B12" t="s">
        <v>803</v>
      </c>
      <c r="C12" t="s">
        <v>843</v>
      </c>
      <c r="D12" t="s">
        <v>844</v>
      </c>
      <c r="E12">
        <v>3.4</v>
      </c>
      <c r="F12">
        <v>102</v>
      </c>
      <c r="G12">
        <v>361</v>
      </c>
      <c r="H12" s="13" t="s">
        <v>7</v>
      </c>
      <c r="I12" s="13" t="s">
        <v>845</v>
      </c>
      <c r="J12" s="13"/>
      <c r="K12" s="13"/>
      <c r="L12" s="13" t="s">
        <v>1925</v>
      </c>
      <c r="M12" s="13" t="s">
        <v>846</v>
      </c>
      <c r="N12" s="13" t="s">
        <v>847</v>
      </c>
      <c r="O12" s="13">
        <v>26979861</v>
      </c>
      <c r="P12" s="13" t="s">
        <v>265</v>
      </c>
      <c r="Q12" s="13">
        <v>128.88517424112601</v>
      </c>
      <c r="R12" s="13">
        <v>37.7866425660498</v>
      </c>
    </row>
    <row r="13" spans="1:18" x14ac:dyDescent="0.3">
      <c r="A13" t="s">
        <v>8</v>
      </c>
      <c r="B13" t="s">
        <v>803</v>
      </c>
      <c r="C13" t="s">
        <v>848</v>
      </c>
      <c r="D13" t="s">
        <v>849</v>
      </c>
      <c r="E13">
        <v>4.7</v>
      </c>
      <c r="F13">
        <v>86</v>
      </c>
      <c r="G13">
        <v>254</v>
      </c>
      <c r="H13" s="13" t="s">
        <v>8</v>
      </c>
      <c r="I13" s="13" t="s">
        <v>850</v>
      </c>
      <c r="J13" s="13" t="s">
        <v>799</v>
      </c>
      <c r="K13" s="13" t="s">
        <v>800</v>
      </c>
      <c r="L13" s="13" t="s">
        <v>1924</v>
      </c>
      <c r="M13" s="13" t="s">
        <v>851</v>
      </c>
      <c r="N13" s="13" t="s">
        <v>848</v>
      </c>
      <c r="O13" s="13">
        <v>25856200</v>
      </c>
      <c r="P13" s="13" t="s">
        <v>269</v>
      </c>
      <c r="Q13" s="13">
        <v>128.861466745895</v>
      </c>
      <c r="R13" s="13">
        <v>37.697803175182599</v>
      </c>
    </row>
    <row r="14" spans="1:18" x14ac:dyDescent="0.3">
      <c r="A14" t="s">
        <v>9</v>
      </c>
      <c r="B14" t="s">
        <v>803</v>
      </c>
      <c r="C14" t="s">
        <v>852</v>
      </c>
      <c r="D14" t="s">
        <v>853</v>
      </c>
      <c r="E14">
        <v>4.5</v>
      </c>
      <c r="F14">
        <v>99</v>
      </c>
      <c r="G14">
        <v>5</v>
      </c>
      <c r="H14" s="13" t="s">
        <v>270</v>
      </c>
      <c r="I14" s="13" t="s">
        <v>854</v>
      </c>
      <c r="J14" s="13" t="s">
        <v>799</v>
      </c>
      <c r="K14" s="13" t="s">
        <v>800</v>
      </c>
      <c r="L14" s="13" t="s">
        <v>1923</v>
      </c>
      <c r="M14" s="13"/>
      <c r="N14" s="13" t="s">
        <v>852</v>
      </c>
      <c r="O14" s="13">
        <v>7960891</v>
      </c>
      <c r="P14" s="13" t="s">
        <v>271</v>
      </c>
      <c r="Q14" s="13">
        <v>128.937796163184</v>
      </c>
      <c r="R14" s="13">
        <v>37.779828659661803</v>
      </c>
    </row>
    <row r="15" spans="1:18" x14ac:dyDescent="0.3">
      <c r="A15" t="s">
        <v>10</v>
      </c>
      <c r="B15" t="s">
        <v>803</v>
      </c>
      <c r="C15" t="s">
        <v>855</v>
      </c>
      <c r="D15" t="s">
        <v>856</v>
      </c>
      <c r="E15">
        <v>3.6</v>
      </c>
      <c r="F15">
        <v>9</v>
      </c>
      <c r="G15">
        <v>59</v>
      </c>
      <c r="H15" s="13" t="s">
        <v>10</v>
      </c>
      <c r="I15" s="13" t="s">
        <v>857</v>
      </c>
      <c r="J15" s="13" t="s">
        <v>799</v>
      </c>
      <c r="K15" s="13" t="s">
        <v>800</v>
      </c>
      <c r="L15" s="13" t="s">
        <v>1922</v>
      </c>
      <c r="M15" s="13" t="s">
        <v>858</v>
      </c>
      <c r="N15" s="13" t="s">
        <v>855</v>
      </c>
      <c r="O15" s="13">
        <v>937891746</v>
      </c>
      <c r="P15" s="13" t="s">
        <v>272</v>
      </c>
      <c r="Q15" s="13">
        <v>128.74002538241899</v>
      </c>
      <c r="R15" s="13">
        <v>37.608741906130199</v>
      </c>
    </row>
    <row r="16" spans="1:18" x14ac:dyDescent="0.3">
      <c r="A16" t="s">
        <v>11</v>
      </c>
      <c r="B16" t="s">
        <v>803</v>
      </c>
      <c r="C16" t="s">
        <v>859</v>
      </c>
      <c r="D16" t="s">
        <v>860</v>
      </c>
      <c r="E16">
        <v>3.9</v>
      </c>
      <c r="F16">
        <v>55</v>
      </c>
      <c r="G16">
        <v>219</v>
      </c>
      <c r="H16" s="13" t="s">
        <v>11</v>
      </c>
      <c r="I16" s="13" t="s">
        <v>861</v>
      </c>
      <c r="J16" s="13" t="s">
        <v>799</v>
      </c>
      <c r="K16" s="13" t="s">
        <v>800</v>
      </c>
      <c r="L16" s="13" t="s">
        <v>1921</v>
      </c>
      <c r="M16" s="13" t="s">
        <v>862</v>
      </c>
      <c r="N16" s="13"/>
      <c r="O16" s="13">
        <v>2058461010</v>
      </c>
      <c r="P16" s="13" t="s">
        <v>273</v>
      </c>
      <c r="Q16" s="13">
        <v>128.897496501722</v>
      </c>
      <c r="R16" s="13">
        <v>37.755909823697998</v>
      </c>
    </row>
    <row r="17" spans="1:18" x14ac:dyDescent="0.3">
      <c r="A17" t="s">
        <v>12</v>
      </c>
      <c r="B17" t="s">
        <v>803</v>
      </c>
      <c r="C17" t="s">
        <v>863</v>
      </c>
      <c r="D17" t="s">
        <v>805</v>
      </c>
      <c r="E17">
        <v>3.9</v>
      </c>
      <c r="F17">
        <v>577</v>
      </c>
      <c r="G17">
        <v>206</v>
      </c>
      <c r="H17" s="13" t="s">
        <v>12</v>
      </c>
      <c r="I17" s="13" t="s">
        <v>864</v>
      </c>
      <c r="J17" s="13"/>
      <c r="K17" s="13"/>
      <c r="L17" s="13" t="s">
        <v>1920</v>
      </c>
      <c r="M17" s="13" t="s">
        <v>865</v>
      </c>
      <c r="N17" s="13" t="s">
        <v>866</v>
      </c>
      <c r="O17" s="13">
        <v>18525909</v>
      </c>
      <c r="P17" s="13" t="s">
        <v>274</v>
      </c>
      <c r="Q17" s="13">
        <v>128.898623790009</v>
      </c>
      <c r="R17" s="13">
        <v>37.754025117657797</v>
      </c>
    </row>
    <row r="18" spans="1:18" x14ac:dyDescent="0.3">
      <c r="A18" t="s">
        <v>13</v>
      </c>
      <c r="B18" t="s">
        <v>803</v>
      </c>
      <c r="C18" t="s">
        <v>867</v>
      </c>
      <c r="D18" t="s">
        <v>868</v>
      </c>
      <c r="E18">
        <v>4</v>
      </c>
      <c r="F18">
        <v>94</v>
      </c>
      <c r="G18">
        <v>183</v>
      </c>
      <c r="H18" s="13" t="s">
        <v>13</v>
      </c>
      <c r="I18" s="13" t="s">
        <v>869</v>
      </c>
      <c r="J18" s="13" t="s">
        <v>799</v>
      </c>
      <c r="K18" s="13" t="s">
        <v>800</v>
      </c>
      <c r="L18" s="13" t="s">
        <v>1919</v>
      </c>
      <c r="M18" s="13" t="s">
        <v>870</v>
      </c>
      <c r="N18" s="13"/>
      <c r="O18" s="13">
        <v>14862993</v>
      </c>
      <c r="P18" s="13" t="s">
        <v>275</v>
      </c>
      <c r="Q18" s="13">
        <v>128.94724160961701</v>
      </c>
      <c r="R18" s="13">
        <v>37.772653600019602</v>
      </c>
    </row>
    <row r="19" spans="1:18" x14ac:dyDescent="0.3">
      <c r="A19" t="s">
        <v>14</v>
      </c>
      <c r="B19" t="s">
        <v>803</v>
      </c>
      <c r="C19" t="s">
        <v>867</v>
      </c>
      <c r="D19" t="s">
        <v>805</v>
      </c>
      <c r="E19">
        <v>4</v>
      </c>
      <c r="F19">
        <v>1</v>
      </c>
      <c r="G19">
        <v>0</v>
      </c>
      <c r="H19" s="13" t="s">
        <v>14</v>
      </c>
      <c r="I19" s="13" t="s">
        <v>815</v>
      </c>
      <c r="J19" s="13"/>
      <c r="K19" s="13"/>
      <c r="L19" s="13" t="s">
        <v>1918</v>
      </c>
      <c r="M19" s="13" t="s">
        <v>871</v>
      </c>
      <c r="N19" s="13"/>
      <c r="O19" s="13">
        <v>714254383</v>
      </c>
      <c r="P19" s="13" t="s">
        <v>276</v>
      </c>
      <c r="Q19" s="13">
        <v>128.89738387634401</v>
      </c>
      <c r="R19" s="13">
        <v>37.813595012068198</v>
      </c>
    </row>
    <row r="20" spans="1:18" x14ac:dyDescent="0.3">
      <c r="A20" t="s">
        <v>15</v>
      </c>
      <c r="B20" t="s">
        <v>832</v>
      </c>
      <c r="C20" t="s">
        <v>872</v>
      </c>
      <c r="D20" t="s">
        <v>873</v>
      </c>
      <c r="E20">
        <v>4.4000000000000004</v>
      </c>
      <c r="F20">
        <v>62</v>
      </c>
      <c r="G20">
        <v>318</v>
      </c>
      <c r="H20" s="13" t="s">
        <v>277</v>
      </c>
      <c r="I20" s="13" t="s">
        <v>874</v>
      </c>
      <c r="J20" s="13"/>
      <c r="K20" s="13"/>
      <c r="L20" s="13" t="s">
        <v>1917</v>
      </c>
      <c r="M20" s="13" t="s">
        <v>875</v>
      </c>
      <c r="N20" s="13" t="s">
        <v>872</v>
      </c>
      <c r="O20" s="13">
        <v>8171435</v>
      </c>
      <c r="P20" s="13" t="s">
        <v>278</v>
      </c>
      <c r="Q20" s="13">
        <v>127.950415153306</v>
      </c>
      <c r="R20" s="13">
        <v>37.347972513213598</v>
      </c>
    </row>
    <row r="21" spans="1:18" x14ac:dyDescent="0.3">
      <c r="A21" t="s">
        <v>16</v>
      </c>
      <c r="B21" t="s">
        <v>876</v>
      </c>
      <c r="C21" t="s">
        <v>877</v>
      </c>
      <c r="D21" t="s">
        <v>878</v>
      </c>
      <c r="E21">
        <v>4.3</v>
      </c>
      <c r="F21">
        <v>65</v>
      </c>
      <c r="G21">
        <v>302</v>
      </c>
      <c r="H21" s="13" t="s">
        <v>279</v>
      </c>
      <c r="I21" s="13" t="s">
        <v>850</v>
      </c>
      <c r="J21" s="13" t="s">
        <v>799</v>
      </c>
      <c r="K21" s="13" t="s">
        <v>800</v>
      </c>
      <c r="L21" s="13" t="s">
        <v>1916</v>
      </c>
      <c r="M21" s="13" t="s">
        <v>879</v>
      </c>
      <c r="N21" s="13" t="s">
        <v>877</v>
      </c>
      <c r="O21" s="13">
        <v>11046971</v>
      </c>
      <c r="P21" s="13" t="s">
        <v>280</v>
      </c>
      <c r="Q21" s="13">
        <v>127.725688629876</v>
      </c>
      <c r="R21" s="13">
        <v>37.9230317243535</v>
      </c>
    </row>
    <row r="22" spans="1:18" x14ac:dyDescent="0.3">
      <c r="A22" t="s">
        <v>281</v>
      </c>
      <c r="B22" t="s">
        <v>822</v>
      </c>
      <c r="C22" t="s">
        <v>880</v>
      </c>
      <c r="D22" t="s">
        <v>881</v>
      </c>
      <c r="E22">
        <v>3</v>
      </c>
      <c r="F22">
        <v>4</v>
      </c>
      <c r="G22">
        <v>36</v>
      </c>
      <c r="H22" s="13" t="s">
        <v>282</v>
      </c>
      <c r="I22" s="13" t="s">
        <v>882</v>
      </c>
      <c r="J22" s="13"/>
      <c r="K22" s="13"/>
      <c r="L22" s="13" t="s">
        <v>1915</v>
      </c>
      <c r="M22" s="13" t="s">
        <v>883</v>
      </c>
      <c r="N22" s="13" t="s">
        <v>884</v>
      </c>
      <c r="O22" s="13">
        <v>13109251</v>
      </c>
      <c r="P22" s="13" t="s">
        <v>283</v>
      </c>
      <c r="Q22" s="13">
        <v>127.852080572719</v>
      </c>
      <c r="R22" s="13">
        <v>37.754339475436097</v>
      </c>
    </row>
    <row r="23" spans="1:18" x14ac:dyDescent="0.3">
      <c r="A23" t="s">
        <v>17</v>
      </c>
      <c r="B23" t="s">
        <v>885</v>
      </c>
      <c r="C23" t="s">
        <v>886</v>
      </c>
      <c r="D23" t="s">
        <v>887</v>
      </c>
      <c r="E23">
        <v>2.7</v>
      </c>
      <c r="F23">
        <v>91</v>
      </c>
      <c r="G23">
        <v>215</v>
      </c>
      <c r="H23" s="13" t="s">
        <v>17</v>
      </c>
      <c r="I23" s="13" t="s">
        <v>810</v>
      </c>
      <c r="J23" s="13" t="s">
        <v>792</v>
      </c>
      <c r="K23" s="13" t="s">
        <v>793</v>
      </c>
      <c r="L23" s="13" t="s">
        <v>1914</v>
      </c>
      <c r="M23" s="13" t="s">
        <v>888</v>
      </c>
      <c r="N23" s="13" t="s">
        <v>886</v>
      </c>
      <c r="O23" s="13">
        <v>9675634</v>
      </c>
      <c r="P23" s="13" t="s">
        <v>284</v>
      </c>
      <c r="Q23" s="13">
        <v>129.08650074735999</v>
      </c>
      <c r="R23" s="13">
        <v>37.350927229702897</v>
      </c>
    </row>
    <row r="24" spans="1:18" x14ac:dyDescent="0.3">
      <c r="A24" t="s">
        <v>18</v>
      </c>
      <c r="B24" t="s">
        <v>889</v>
      </c>
      <c r="C24" t="s">
        <v>890</v>
      </c>
      <c r="E24">
        <v>4</v>
      </c>
      <c r="F24">
        <v>23</v>
      </c>
      <c r="G24">
        <v>73</v>
      </c>
      <c r="H24" s="13" t="s">
        <v>18</v>
      </c>
      <c r="I24" s="13" t="s">
        <v>798</v>
      </c>
      <c r="J24" s="13" t="s">
        <v>799</v>
      </c>
      <c r="K24" s="13" t="s">
        <v>800</v>
      </c>
      <c r="L24" s="13" t="s">
        <v>1913</v>
      </c>
      <c r="M24" s="13" t="s">
        <v>891</v>
      </c>
      <c r="N24" s="13" t="s">
        <v>890</v>
      </c>
      <c r="O24" s="13">
        <v>26388997</v>
      </c>
      <c r="P24" s="13" t="s">
        <v>288</v>
      </c>
      <c r="Q24" s="13">
        <v>127.55096098182899</v>
      </c>
      <c r="R24" s="13">
        <v>37.8427437956273</v>
      </c>
    </row>
    <row r="25" spans="1:18" x14ac:dyDescent="0.3">
      <c r="A25" t="s">
        <v>19</v>
      </c>
      <c r="B25" t="s">
        <v>876</v>
      </c>
      <c r="C25" t="s">
        <v>890</v>
      </c>
      <c r="D25" t="s">
        <v>892</v>
      </c>
      <c r="E25">
        <v>3.8</v>
      </c>
      <c r="F25">
        <v>145</v>
      </c>
      <c r="G25">
        <v>265</v>
      </c>
      <c r="H25" s="13" t="s">
        <v>19</v>
      </c>
      <c r="I25" s="13" t="s">
        <v>798</v>
      </c>
      <c r="J25" s="13" t="s">
        <v>799</v>
      </c>
      <c r="K25" s="13" t="s">
        <v>800</v>
      </c>
      <c r="L25" s="13" t="s">
        <v>1912</v>
      </c>
      <c r="M25" s="13" t="s">
        <v>893</v>
      </c>
      <c r="N25" s="13" t="s">
        <v>890</v>
      </c>
      <c r="O25" s="13">
        <v>18711877</v>
      </c>
      <c r="P25" s="13" t="s">
        <v>289</v>
      </c>
      <c r="Q25" s="13">
        <v>127.712332325863</v>
      </c>
      <c r="R25" s="13">
        <v>37.815772663335899</v>
      </c>
    </row>
    <row r="26" spans="1:18" x14ac:dyDescent="0.3">
      <c r="A26" t="s">
        <v>290</v>
      </c>
      <c r="B26" t="s">
        <v>894</v>
      </c>
      <c r="C26" t="s">
        <v>895</v>
      </c>
      <c r="E26">
        <v>3.9</v>
      </c>
      <c r="F26">
        <v>8</v>
      </c>
      <c r="G26">
        <v>26</v>
      </c>
      <c r="H26" s="13" t="s">
        <v>290</v>
      </c>
      <c r="I26" s="13" t="s">
        <v>896</v>
      </c>
      <c r="J26" s="13"/>
      <c r="K26" s="13"/>
      <c r="L26" s="13" t="s">
        <v>1911</v>
      </c>
      <c r="M26" s="13"/>
      <c r="N26" s="13"/>
      <c r="O26" s="13">
        <v>23690312</v>
      </c>
      <c r="P26" s="13" t="s">
        <v>292</v>
      </c>
      <c r="Q26" s="13">
        <v>127.687417989639</v>
      </c>
      <c r="R26" s="13">
        <v>38.072712316108102</v>
      </c>
    </row>
    <row r="27" spans="1:18" x14ac:dyDescent="0.3">
      <c r="A27" t="s">
        <v>20</v>
      </c>
      <c r="B27" t="s">
        <v>807</v>
      </c>
      <c r="C27" t="s">
        <v>897</v>
      </c>
      <c r="D27" t="s">
        <v>898</v>
      </c>
      <c r="E27">
        <v>4.5999999999999996</v>
      </c>
      <c r="F27">
        <v>44</v>
      </c>
      <c r="G27">
        <v>182</v>
      </c>
      <c r="H27" s="13" t="s">
        <v>20</v>
      </c>
      <c r="I27" s="13" t="s">
        <v>899</v>
      </c>
      <c r="J27" s="13"/>
      <c r="K27" s="13"/>
      <c r="L27" s="13" t="s">
        <v>1910</v>
      </c>
      <c r="M27" s="13" t="s">
        <v>900</v>
      </c>
      <c r="N27" s="13" t="s">
        <v>897</v>
      </c>
      <c r="O27" s="13">
        <v>8171586</v>
      </c>
      <c r="P27" s="13" t="s">
        <v>293</v>
      </c>
      <c r="Q27" s="13">
        <v>128.37946636277599</v>
      </c>
      <c r="R27" s="13">
        <v>38.403157662490401</v>
      </c>
    </row>
    <row r="28" spans="1:18" x14ac:dyDescent="0.3">
      <c r="A28" t="s">
        <v>21</v>
      </c>
      <c r="B28" t="s">
        <v>803</v>
      </c>
      <c r="C28" t="s">
        <v>901</v>
      </c>
      <c r="D28" t="s">
        <v>902</v>
      </c>
      <c r="E28">
        <v>4.7</v>
      </c>
      <c r="F28">
        <v>3</v>
      </c>
      <c r="G28">
        <v>4</v>
      </c>
      <c r="H28" s="13" t="s">
        <v>21</v>
      </c>
      <c r="I28" s="13" t="s">
        <v>903</v>
      </c>
      <c r="J28" s="13"/>
      <c r="K28" s="13"/>
      <c r="L28" s="13" t="s">
        <v>1909</v>
      </c>
      <c r="M28" s="13"/>
      <c r="N28" s="13"/>
      <c r="O28" s="13">
        <v>910019105</v>
      </c>
      <c r="P28" s="13" t="s">
        <v>294</v>
      </c>
      <c r="Q28" s="13">
        <v>128.907803615147</v>
      </c>
      <c r="R28" s="13">
        <v>37.8051380887932</v>
      </c>
    </row>
    <row r="29" spans="1:18" x14ac:dyDescent="0.3">
      <c r="A29" t="s">
        <v>22</v>
      </c>
      <c r="B29" t="s">
        <v>803</v>
      </c>
      <c r="C29" t="s">
        <v>901</v>
      </c>
      <c r="D29" t="s">
        <v>902</v>
      </c>
      <c r="E29">
        <v>4.4000000000000004</v>
      </c>
      <c r="F29">
        <v>217</v>
      </c>
      <c r="G29">
        <v>38</v>
      </c>
      <c r="H29" s="13" t="s">
        <v>22</v>
      </c>
      <c r="I29" s="13" t="s">
        <v>854</v>
      </c>
      <c r="J29" s="13" t="s">
        <v>799</v>
      </c>
      <c r="K29" s="13" t="s">
        <v>800</v>
      </c>
      <c r="L29" s="13" t="s">
        <v>1909</v>
      </c>
      <c r="M29" s="13" t="s">
        <v>904</v>
      </c>
      <c r="N29" s="13"/>
      <c r="O29" s="13">
        <v>8199114</v>
      </c>
      <c r="P29" s="13" t="s">
        <v>295</v>
      </c>
      <c r="Q29" s="13">
        <v>128.91021024760499</v>
      </c>
      <c r="R29" s="13">
        <v>37.803405508312501</v>
      </c>
    </row>
    <row r="30" spans="1:18" x14ac:dyDescent="0.3">
      <c r="A30" t="s">
        <v>23</v>
      </c>
      <c r="B30" t="s">
        <v>788</v>
      </c>
      <c r="C30" t="s">
        <v>905</v>
      </c>
      <c r="D30" t="s">
        <v>906</v>
      </c>
      <c r="E30">
        <v>4.8</v>
      </c>
      <c r="F30">
        <v>13</v>
      </c>
      <c r="G30">
        <v>54</v>
      </c>
      <c r="H30" s="13" t="s">
        <v>296</v>
      </c>
      <c r="I30" s="13" t="s">
        <v>907</v>
      </c>
      <c r="J30" s="13" t="s">
        <v>908</v>
      </c>
      <c r="K30" s="13" t="s">
        <v>909</v>
      </c>
      <c r="L30" s="13" t="s">
        <v>1908</v>
      </c>
      <c r="M30" s="13" t="s">
        <v>910</v>
      </c>
      <c r="N30" s="13" t="s">
        <v>905</v>
      </c>
      <c r="O30" s="13">
        <v>12296544</v>
      </c>
      <c r="P30" s="13" t="s">
        <v>300</v>
      </c>
      <c r="Q30" s="13">
        <v>128.47937139075</v>
      </c>
      <c r="R30" s="13">
        <v>37.700035541338003</v>
      </c>
    </row>
    <row r="31" spans="1:18" x14ac:dyDescent="0.3">
      <c r="A31" t="s">
        <v>24</v>
      </c>
      <c r="B31" t="s">
        <v>795</v>
      </c>
      <c r="C31" t="s">
        <v>911</v>
      </c>
      <c r="D31" t="s">
        <v>912</v>
      </c>
      <c r="E31">
        <v>4.5</v>
      </c>
      <c r="F31">
        <v>30</v>
      </c>
      <c r="G31">
        <v>141</v>
      </c>
      <c r="H31" s="13" t="s">
        <v>301</v>
      </c>
      <c r="I31" s="13" t="s">
        <v>810</v>
      </c>
      <c r="J31" s="13" t="s">
        <v>792</v>
      </c>
      <c r="K31" s="13" t="s">
        <v>793</v>
      </c>
      <c r="L31" s="13" t="s">
        <v>1907</v>
      </c>
      <c r="M31" s="13" t="s">
        <v>913</v>
      </c>
      <c r="N31" s="13" t="s">
        <v>914</v>
      </c>
      <c r="O31" s="13">
        <v>13266763</v>
      </c>
      <c r="P31" s="13" t="s">
        <v>302</v>
      </c>
      <c r="Q31" s="13">
        <v>129.03955706253299</v>
      </c>
      <c r="R31" s="13">
        <v>37.094919423209298</v>
      </c>
    </row>
    <row r="32" spans="1:18" x14ac:dyDescent="0.3">
      <c r="A32" t="s">
        <v>25</v>
      </c>
      <c r="B32" t="s">
        <v>813</v>
      </c>
      <c r="C32" t="s">
        <v>915</v>
      </c>
      <c r="E32">
        <v>4.4000000000000004</v>
      </c>
      <c r="F32">
        <v>179</v>
      </c>
      <c r="G32">
        <v>88</v>
      </c>
      <c r="H32" s="13" t="s">
        <v>25</v>
      </c>
      <c r="I32" s="13" t="s">
        <v>845</v>
      </c>
      <c r="J32" s="13"/>
      <c r="K32" s="13"/>
      <c r="L32" s="13" t="s">
        <v>1906</v>
      </c>
      <c r="M32" s="13"/>
      <c r="N32" s="13" t="s">
        <v>915</v>
      </c>
      <c r="O32" s="13">
        <v>8176583</v>
      </c>
      <c r="P32" s="13" t="s">
        <v>303</v>
      </c>
      <c r="Q32" s="13">
        <v>127.287954290389</v>
      </c>
      <c r="R32" s="13">
        <v>38.185262491597797</v>
      </c>
    </row>
    <row r="33" spans="1:18" x14ac:dyDescent="0.3">
      <c r="A33" t="s">
        <v>26</v>
      </c>
      <c r="B33" t="s">
        <v>807</v>
      </c>
      <c r="C33" t="s">
        <v>916</v>
      </c>
      <c r="D33" t="s">
        <v>917</v>
      </c>
      <c r="E33">
        <v>4.5</v>
      </c>
      <c r="F33">
        <v>40</v>
      </c>
      <c r="G33">
        <v>64</v>
      </c>
      <c r="H33" s="13" t="s">
        <v>304</v>
      </c>
      <c r="I33" s="13" t="s">
        <v>918</v>
      </c>
      <c r="J33" s="13"/>
      <c r="K33" s="13"/>
      <c r="L33" s="13" t="s">
        <v>1809</v>
      </c>
      <c r="M33" s="13"/>
      <c r="N33" s="13"/>
      <c r="O33" s="13">
        <v>984257114</v>
      </c>
      <c r="P33" s="13" t="s">
        <v>305</v>
      </c>
      <c r="Q33" s="13">
        <v>128.52992529304001</v>
      </c>
      <c r="R33" s="13">
        <v>38.327507332776101</v>
      </c>
    </row>
    <row r="34" spans="1:18" x14ac:dyDescent="0.3">
      <c r="A34" t="s">
        <v>27</v>
      </c>
      <c r="B34" t="s">
        <v>807</v>
      </c>
      <c r="C34" t="s">
        <v>919</v>
      </c>
      <c r="D34" t="s">
        <v>920</v>
      </c>
      <c r="E34">
        <v>3.3</v>
      </c>
      <c r="F34">
        <v>76</v>
      </c>
      <c r="G34">
        <v>527</v>
      </c>
      <c r="H34" s="13" t="s">
        <v>306</v>
      </c>
      <c r="I34" s="13" t="s">
        <v>921</v>
      </c>
      <c r="J34" s="13"/>
      <c r="K34" s="13"/>
      <c r="L34" s="13" t="s">
        <v>1905</v>
      </c>
      <c r="M34" s="13" t="s">
        <v>922</v>
      </c>
      <c r="N34" s="13" t="s">
        <v>919</v>
      </c>
      <c r="O34" s="13">
        <v>8127461</v>
      </c>
      <c r="P34" s="13" t="s">
        <v>307</v>
      </c>
      <c r="Q34" s="13">
        <v>128.41523655693999</v>
      </c>
      <c r="R34" s="13">
        <v>38.348549341909397</v>
      </c>
    </row>
    <row r="35" spans="1:18" x14ac:dyDescent="0.3">
      <c r="A35" t="s">
        <v>28</v>
      </c>
      <c r="B35" t="s">
        <v>807</v>
      </c>
      <c r="C35" t="s">
        <v>923</v>
      </c>
      <c r="D35" t="s">
        <v>924</v>
      </c>
      <c r="E35">
        <v>4.3</v>
      </c>
      <c r="F35">
        <v>247</v>
      </c>
      <c r="G35">
        <v>297</v>
      </c>
      <c r="H35" s="13" t="s">
        <v>28</v>
      </c>
      <c r="I35" s="13" t="s">
        <v>925</v>
      </c>
      <c r="J35" s="13" t="s">
        <v>799</v>
      </c>
      <c r="K35" s="13" t="s">
        <v>800</v>
      </c>
      <c r="L35" s="13" t="s">
        <v>1904</v>
      </c>
      <c r="M35" s="13" t="s">
        <v>926</v>
      </c>
      <c r="N35" s="13" t="s">
        <v>923</v>
      </c>
      <c r="O35" s="13">
        <v>1439312170</v>
      </c>
      <c r="P35" s="13" t="s">
        <v>309</v>
      </c>
      <c r="Q35" s="13">
        <v>128.37488822443299</v>
      </c>
      <c r="R35" s="13">
        <v>38.586687048246397</v>
      </c>
    </row>
    <row r="36" spans="1:18" x14ac:dyDescent="0.3">
      <c r="A36" t="s">
        <v>310</v>
      </c>
      <c r="B36" t="s">
        <v>807</v>
      </c>
      <c r="C36" t="s">
        <v>927</v>
      </c>
      <c r="D36" t="s">
        <v>898</v>
      </c>
      <c r="E36">
        <v>2.2999999999999998</v>
      </c>
      <c r="F36">
        <v>59</v>
      </c>
      <c r="G36">
        <v>1</v>
      </c>
      <c r="H36" s="13" t="s">
        <v>310</v>
      </c>
      <c r="I36" s="13" t="s">
        <v>845</v>
      </c>
      <c r="J36" s="13"/>
      <c r="K36" s="13"/>
      <c r="L36" s="13" t="s">
        <v>1903</v>
      </c>
      <c r="M36" s="13"/>
      <c r="N36" s="13"/>
      <c r="O36" s="13">
        <v>12765222</v>
      </c>
      <c r="P36" s="13" t="s">
        <v>311</v>
      </c>
      <c r="Q36" s="13">
        <v>128.63371262867</v>
      </c>
      <c r="R36" s="13">
        <v>35.148036135764599</v>
      </c>
    </row>
    <row r="37" spans="1:18" x14ac:dyDescent="0.3">
      <c r="A37" t="s">
        <v>312</v>
      </c>
      <c r="B37" t="s">
        <v>894</v>
      </c>
      <c r="C37" t="s">
        <v>895</v>
      </c>
      <c r="E37">
        <v>4.4000000000000004</v>
      </c>
      <c r="F37">
        <v>5</v>
      </c>
      <c r="G37">
        <v>8</v>
      </c>
      <c r="H37" s="13" t="s">
        <v>312</v>
      </c>
      <c r="I37" s="13" t="s">
        <v>928</v>
      </c>
      <c r="J37" s="13" t="s">
        <v>799</v>
      </c>
      <c r="K37" s="13" t="s">
        <v>800</v>
      </c>
      <c r="L37" s="13" t="s">
        <v>1902</v>
      </c>
      <c r="M37" s="13"/>
      <c r="N37" s="13"/>
      <c r="O37" s="13">
        <v>11641939</v>
      </c>
      <c r="P37" s="13" t="s">
        <v>313</v>
      </c>
      <c r="Q37" s="13">
        <v>127.538972102599</v>
      </c>
      <c r="R37" s="13">
        <v>38.053194714605098</v>
      </c>
    </row>
    <row r="38" spans="1:18" x14ac:dyDescent="0.3">
      <c r="A38" t="s">
        <v>29</v>
      </c>
      <c r="B38" t="s">
        <v>929</v>
      </c>
      <c r="C38" t="s">
        <v>930</v>
      </c>
      <c r="E38">
        <v>4.5</v>
      </c>
      <c r="F38">
        <v>46</v>
      </c>
      <c r="G38">
        <v>111</v>
      </c>
      <c r="H38" s="13" t="s">
        <v>29</v>
      </c>
      <c r="I38" s="13" t="s">
        <v>931</v>
      </c>
      <c r="J38" s="13"/>
      <c r="K38" s="13"/>
      <c r="L38" s="13" t="s">
        <v>1901</v>
      </c>
      <c r="M38" s="13"/>
      <c r="N38" s="13"/>
      <c r="O38" s="13">
        <v>11529179</v>
      </c>
      <c r="P38" s="13" t="s">
        <v>314</v>
      </c>
      <c r="Q38" s="13">
        <v>128.43340170100601</v>
      </c>
      <c r="R38" s="13">
        <v>38.027597700694002</v>
      </c>
    </row>
    <row r="39" spans="1:18" x14ac:dyDescent="0.3">
      <c r="A39" t="s">
        <v>315</v>
      </c>
      <c r="B39" t="s">
        <v>822</v>
      </c>
      <c r="C39" t="s">
        <v>932</v>
      </c>
      <c r="D39" t="s">
        <v>933</v>
      </c>
      <c r="H39" s="13" t="s">
        <v>315</v>
      </c>
      <c r="I39" s="13" t="s">
        <v>934</v>
      </c>
      <c r="J39" s="13" t="s">
        <v>799</v>
      </c>
      <c r="K39" s="13" t="s">
        <v>800</v>
      </c>
      <c r="L39" s="13" t="s">
        <v>1900</v>
      </c>
      <c r="M39" s="13"/>
      <c r="N39" s="13" t="s">
        <v>932</v>
      </c>
      <c r="O39" s="13">
        <v>25049125</v>
      </c>
      <c r="P39" s="13" t="s">
        <v>317</v>
      </c>
      <c r="Q39" s="13">
        <v>127.958779292964</v>
      </c>
      <c r="R39" s="13">
        <v>37.6976659772007</v>
      </c>
    </row>
    <row r="40" spans="1:18" x14ac:dyDescent="0.3">
      <c r="A40" t="s">
        <v>30</v>
      </c>
      <c r="B40" t="s">
        <v>876</v>
      </c>
      <c r="C40" t="s">
        <v>935</v>
      </c>
      <c r="D40" t="s">
        <v>936</v>
      </c>
      <c r="E40">
        <v>4.2</v>
      </c>
      <c r="F40">
        <v>28</v>
      </c>
      <c r="G40">
        <v>117</v>
      </c>
      <c r="H40" s="13" t="s">
        <v>30</v>
      </c>
      <c r="I40" s="13" t="s">
        <v>825</v>
      </c>
      <c r="J40" s="13"/>
      <c r="K40" s="13"/>
      <c r="L40" s="13" t="s">
        <v>1899</v>
      </c>
      <c r="M40" s="13" t="s">
        <v>937</v>
      </c>
      <c r="N40" s="13" t="s">
        <v>935</v>
      </c>
      <c r="O40" s="13">
        <v>8235953</v>
      </c>
      <c r="P40" s="13" t="s">
        <v>318</v>
      </c>
      <c r="Q40" s="13">
        <v>127.615851972315</v>
      </c>
      <c r="R40" s="13">
        <v>37.797032759760803</v>
      </c>
    </row>
    <row r="41" spans="1:18" x14ac:dyDescent="0.3">
      <c r="A41" t="s">
        <v>31</v>
      </c>
      <c r="B41" t="s">
        <v>795</v>
      </c>
      <c r="C41" t="s">
        <v>938</v>
      </c>
      <c r="D41" t="s">
        <v>939</v>
      </c>
      <c r="E41">
        <v>4.5</v>
      </c>
      <c r="F41">
        <v>71</v>
      </c>
      <c r="G41">
        <v>119</v>
      </c>
      <c r="H41" s="13" t="s">
        <v>31</v>
      </c>
      <c r="I41" s="13" t="s">
        <v>940</v>
      </c>
      <c r="J41" s="13"/>
      <c r="K41" s="13"/>
      <c r="L41" s="13" t="s">
        <v>1898</v>
      </c>
      <c r="M41" s="13"/>
      <c r="N41" s="13"/>
      <c r="O41" s="13">
        <v>8214139</v>
      </c>
      <c r="P41" s="13" t="s">
        <v>319</v>
      </c>
      <c r="Q41" s="13">
        <v>129.042332828057</v>
      </c>
      <c r="R41" s="13">
        <v>37.092536470446198</v>
      </c>
    </row>
    <row r="42" spans="1:18" x14ac:dyDescent="0.3">
      <c r="A42" t="s">
        <v>32</v>
      </c>
      <c r="B42" t="s">
        <v>941</v>
      </c>
      <c r="C42" t="s">
        <v>942</v>
      </c>
      <c r="D42" t="s">
        <v>943</v>
      </c>
      <c r="H42" s="13" t="s">
        <v>32</v>
      </c>
      <c r="I42" s="13" t="s">
        <v>944</v>
      </c>
      <c r="J42" s="13" t="s">
        <v>799</v>
      </c>
      <c r="K42" s="13" t="s">
        <v>800</v>
      </c>
      <c r="L42" s="13" t="s">
        <v>1897</v>
      </c>
      <c r="M42" s="13" t="s">
        <v>945</v>
      </c>
      <c r="N42" s="13" t="s">
        <v>942</v>
      </c>
      <c r="O42" s="13">
        <v>8713811</v>
      </c>
      <c r="P42" s="13" t="s">
        <v>320</v>
      </c>
      <c r="Q42" s="13">
        <v>128.56963768816999</v>
      </c>
      <c r="R42" s="13">
        <v>37.426730712645103</v>
      </c>
    </row>
    <row r="43" spans="1:18" x14ac:dyDescent="0.3">
      <c r="A43" t="s">
        <v>33</v>
      </c>
      <c r="B43" t="s">
        <v>832</v>
      </c>
      <c r="C43" t="s">
        <v>946</v>
      </c>
      <c r="D43" t="s">
        <v>947</v>
      </c>
      <c r="E43">
        <v>3.2</v>
      </c>
      <c r="F43">
        <v>12</v>
      </c>
      <c r="G43">
        <v>176</v>
      </c>
      <c r="H43" s="13" t="s">
        <v>33</v>
      </c>
      <c r="I43" s="13" t="s">
        <v>948</v>
      </c>
      <c r="J43" s="13" t="s">
        <v>792</v>
      </c>
      <c r="K43" s="13" t="s">
        <v>793</v>
      </c>
      <c r="L43" s="13" t="s">
        <v>1896</v>
      </c>
      <c r="M43" s="13" t="s">
        <v>949</v>
      </c>
      <c r="N43" s="13" t="s">
        <v>946</v>
      </c>
      <c r="O43" s="13">
        <v>581564680</v>
      </c>
      <c r="P43" s="13" t="s">
        <v>321</v>
      </c>
      <c r="Q43" s="13">
        <v>127.953387353555</v>
      </c>
      <c r="R43" s="13">
        <v>37.391378254220299</v>
      </c>
    </row>
    <row r="44" spans="1:18" x14ac:dyDescent="0.3">
      <c r="A44" t="s">
        <v>34</v>
      </c>
      <c r="B44" t="s">
        <v>838</v>
      </c>
      <c r="C44" t="s">
        <v>950</v>
      </c>
      <c r="D44" t="s">
        <v>951</v>
      </c>
      <c r="E44">
        <v>4.7</v>
      </c>
      <c r="F44">
        <v>32</v>
      </c>
      <c r="G44">
        <v>2</v>
      </c>
      <c r="H44" s="13" t="s">
        <v>34</v>
      </c>
      <c r="I44" s="13" t="s">
        <v>944</v>
      </c>
      <c r="J44" s="13" t="s">
        <v>799</v>
      </c>
      <c r="K44" s="13" t="s">
        <v>800</v>
      </c>
      <c r="L44" s="13" t="s">
        <v>1844</v>
      </c>
      <c r="M44" s="13"/>
      <c r="N44" s="13" t="s">
        <v>950</v>
      </c>
      <c r="O44" s="13">
        <v>7879147</v>
      </c>
      <c r="P44" s="13" t="s">
        <v>322</v>
      </c>
      <c r="Q44" s="13">
        <v>128.52805691882301</v>
      </c>
      <c r="R44" s="13">
        <v>37.939011790163001</v>
      </c>
    </row>
    <row r="45" spans="1:18" x14ac:dyDescent="0.3">
      <c r="A45" t="s">
        <v>35</v>
      </c>
      <c r="B45" t="s">
        <v>832</v>
      </c>
      <c r="C45" t="s">
        <v>952</v>
      </c>
      <c r="D45" t="s">
        <v>953</v>
      </c>
      <c r="E45">
        <v>3.6</v>
      </c>
      <c r="F45">
        <v>19</v>
      </c>
      <c r="G45">
        <v>8</v>
      </c>
      <c r="H45" s="13" t="s">
        <v>35</v>
      </c>
      <c r="I45" s="13" t="s">
        <v>944</v>
      </c>
      <c r="J45" s="13" t="s">
        <v>799</v>
      </c>
      <c r="K45" s="13" t="s">
        <v>800</v>
      </c>
      <c r="L45" s="13" t="s">
        <v>1895</v>
      </c>
      <c r="M45" s="13" t="s">
        <v>954</v>
      </c>
      <c r="N45" s="13" t="s">
        <v>952</v>
      </c>
      <c r="O45" s="13">
        <v>10389516</v>
      </c>
      <c r="P45" s="13" t="s">
        <v>323</v>
      </c>
      <c r="Q45" s="13">
        <v>127.941566233263</v>
      </c>
      <c r="R45" s="13">
        <v>37.2715607740408</v>
      </c>
    </row>
    <row r="46" spans="1:18" x14ac:dyDescent="0.3">
      <c r="A46" t="s">
        <v>324</v>
      </c>
      <c r="B46" t="s">
        <v>955</v>
      </c>
      <c r="C46" t="s">
        <v>956</v>
      </c>
      <c r="D46" t="s">
        <v>957</v>
      </c>
      <c r="E46">
        <v>5</v>
      </c>
      <c r="F46">
        <v>3</v>
      </c>
      <c r="G46">
        <v>12</v>
      </c>
      <c r="H46" s="13" t="s">
        <v>324</v>
      </c>
      <c r="I46" s="13" t="s">
        <v>958</v>
      </c>
      <c r="J46" s="13"/>
      <c r="K46" s="13"/>
      <c r="L46" s="13" t="s">
        <v>1894</v>
      </c>
      <c r="M46" s="13" t="s">
        <v>959</v>
      </c>
      <c r="N46" s="13" t="s">
        <v>960</v>
      </c>
      <c r="O46" s="13">
        <v>25572293</v>
      </c>
      <c r="P46" s="13" t="s">
        <v>325</v>
      </c>
      <c r="Q46" s="13">
        <v>128.54163936681499</v>
      </c>
      <c r="R46" s="13">
        <v>38.202156347460402</v>
      </c>
    </row>
    <row r="47" spans="1:18" x14ac:dyDescent="0.3">
      <c r="A47" t="s">
        <v>36</v>
      </c>
      <c r="B47" t="s">
        <v>876</v>
      </c>
      <c r="C47" t="s">
        <v>961</v>
      </c>
      <c r="D47" t="s">
        <v>962</v>
      </c>
      <c r="E47">
        <v>4.5999999999999996</v>
      </c>
      <c r="F47">
        <v>63</v>
      </c>
      <c r="G47">
        <v>841</v>
      </c>
      <c r="H47" s="13" t="s">
        <v>36</v>
      </c>
      <c r="I47" s="13" t="s">
        <v>810</v>
      </c>
      <c r="J47" s="13" t="s">
        <v>792</v>
      </c>
      <c r="K47" s="13" t="s">
        <v>793</v>
      </c>
      <c r="L47" s="13" t="s">
        <v>1893</v>
      </c>
      <c r="M47" s="13" t="s">
        <v>963</v>
      </c>
      <c r="N47" s="13" t="s">
        <v>961</v>
      </c>
      <c r="O47" s="13">
        <v>8208782</v>
      </c>
      <c r="P47" s="13" t="s">
        <v>326</v>
      </c>
      <c r="Q47" s="13">
        <v>127.753781626171</v>
      </c>
      <c r="R47" s="13">
        <v>37.864058864911399</v>
      </c>
    </row>
    <row r="48" spans="1:18" x14ac:dyDescent="0.3">
      <c r="A48" t="s">
        <v>37</v>
      </c>
      <c r="B48" t="s">
        <v>876</v>
      </c>
      <c r="C48" t="s">
        <v>964</v>
      </c>
      <c r="D48" t="s">
        <v>965</v>
      </c>
      <c r="E48">
        <v>4.0999999999999996</v>
      </c>
      <c r="F48">
        <v>9</v>
      </c>
      <c r="G48">
        <v>86</v>
      </c>
      <c r="H48" s="13" t="s">
        <v>37</v>
      </c>
      <c r="I48" s="13" t="s">
        <v>958</v>
      </c>
      <c r="J48" s="13"/>
      <c r="K48" s="13"/>
      <c r="L48" s="13" t="s">
        <v>1892</v>
      </c>
      <c r="M48" s="13"/>
      <c r="N48" s="13" t="s">
        <v>966</v>
      </c>
      <c r="O48" s="13">
        <v>1158129196</v>
      </c>
      <c r="P48" s="13" t="s">
        <v>327</v>
      </c>
      <c r="Q48" s="13">
        <v>127.771814341069</v>
      </c>
      <c r="R48" s="13">
        <v>37.980285205383403</v>
      </c>
    </row>
    <row r="49" spans="1:18" x14ac:dyDescent="0.3">
      <c r="A49" t="s">
        <v>38</v>
      </c>
      <c r="B49" t="s">
        <v>967</v>
      </c>
      <c r="C49" t="s">
        <v>968</v>
      </c>
      <c r="D49" t="s">
        <v>969</v>
      </c>
      <c r="E49">
        <v>4.5</v>
      </c>
      <c r="F49">
        <v>45</v>
      </c>
      <c r="G49">
        <v>188</v>
      </c>
      <c r="H49" s="13" t="s">
        <v>38</v>
      </c>
      <c r="I49" s="13" t="s">
        <v>934</v>
      </c>
      <c r="J49" s="13" t="s">
        <v>799</v>
      </c>
      <c r="K49" s="13" t="s">
        <v>800</v>
      </c>
      <c r="L49" s="13" t="s">
        <v>1891</v>
      </c>
      <c r="M49" s="13" t="s">
        <v>970</v>
      </c>
      <c r="N49" s="13" t="s">
        <v>968</v>
      </c>
      <c r="O49" s="13">
        <v>24505294</v>
      </c>
      <c r="P49" s="13" t="s">
        <v>328</v>
      </c>
      <c r="Q49" s="13">
        <v>128.29146025892101</v>
      </c>
      <c r="R49" s="13">
        <v>37.536862044557701</v>
      </c>
    </row>
    <row r="50" spans="1:18" x14ac:dyDescent="0.3">
      <c r="A50" t="s">
        <v>329</v>
      </c>
      <c r="B50" t="s">
        <v>788</v>
      </c>
      <c r="C50" t="s">
        <v>971</v>
      </c>
      <c r="D50" t="s">
        <v>972</v>
      </c>
      <c r="E50">
        <v>4.8</v>
      </c>
      <c r="F50">
        <v>4</v>
      </c>
      <c r="G50">
        <v>2</v>
      </c>
      <c r="H50" s="13" t="s">
        <v>329</v>
      </c>
      <c r="I50" s="13" t="s">
        <v>973</v>
      </c>
      <c r="J50" s="13" t="s">
        <v>799</v>
      </c>
      <c r="K50" s="13" t="s">
        <v>800</v>
      </c>
      <c r="L50" s="13" t="s">
        <v>1890</v>
      </c>
      <c r="M50" s="13"/>
      <c r="N50" s="13"/>
      <c r="O50" s="13">
        <v>26558806</v>
      </c>
      <c r="P50" s="13" t="s">
        <v>330</v>
      </c>
      <c r="Q50" s="13">
        <v>128.74555574722501</v>
      </c>
      <c r="R50" s="13">
        <v>37.687904892360898</v>
      </c>
    </row>
    <row r="51" spans="1:18" x14ac:dyDescent="0.3">
      <c r="A51" t="s">
        <v>39</v>
      </c>
      <c r="B51" t="s">
        <v>817</v>
      </c>
      <c r="C51" t="s">
        <v>974</v>
      </c>
      <c r="D51" t="s">
        <v>975</v>
      </c>
      <c r="E51">
        <v>0</v>
      </c>
      <c r="F51">
        <v>30</v>
      </c>
      <c r="G51">
        <v>41</v>
      </c>
      <c r="H51" s="13" t="s">
        <v>39</v>
      </c>
      <c r="I51" s="13" t="s">
        <v>976</v>
      </c>
      <c r="J51" s="13" t="s">
        <v>799</v>
      </c>
      <c r="K51" s="13" t="s">
        <v>800</v>
      </c>
      <c r="L51" s="13" t="s">
        <v>1889</v>
      </c>
      <c r="M51" s="13" t="s">
        <v>977</v>
      </c>
      <c r="N51" s="13" t="s">
        <v>974</v>
      </c>
      <c r="O51" s="13">
        <v>10134258</v>
      </c>
      <c r="P51" s="13" t="s">
        <v>331</v>
      </c>
      <c r="Q51" s="13">
        <v>128.02967068010699</v>
      </c>
      <c r="R51" s="13">
        <v>38.068905839166902</v>
      </c>
    </row>
    <row r="52" spans="1:18" x14ac:dyDescent="0.3">
      <c r="A52" t="s">
        <v>40</v>
      </c>
      <c r="B52" t="s">
        <v>807</v>
      </c>
      <c r="C52" t="s">
        <v>978</v>
      </c>
      <c r="D52" t="s">
        <v>898</v>
      </c>
      <c r="E52">
        <v>4.5</v>
      </c>
      <c r="F52">
        <v>70</v>
      </c>
      <c r="G52">
        <v>400</v>
      </c>
      <c r="H52" s="13" t="s">
        <v>40</v>
      </c>
      <c r="I52" s="13" t="s">
        <v>899</v>
      </c>
      <c r="J52" s="13"/>
      <c r="K52" s="13"/>
      <c r="L52" s="13" t="s">
        <v>1888</v>
      </c>
      <c r="M52" s="13" t="s">
        <v>979</v>
      </c>
      <c r="N52" s="13" t="s">
        <v>978</v>
      </c>
      <c r="O52" s="13">
        <v>8696982</v>
      </c>
      <c r="P52" s="13" t="s">
        <v>332</v>
      </c>
      <c r="Q52" s="13">
        <v>128.47020504657601</v>
      </c>
      <c r="R52" s="13">
        <v>38.227005969353101</v>
      </c>
    </row>
    <row r="53" spans="1:18" x14ac:dyDescent="0.3">
      <c r="A53" t="s">
        <v>41</v>
      </c>
      <c r="B53" t="s">
        <v>980</v>
      </c>
      <c r="C53" t="s">
        <v>981</v>
      </c>
      <c r="D53" t="s">
        <v>982</v>
      </c>
      <c r="E53">
        <v>3.4</v>
      </c>
      <c r="F53">
        <v>12</v>
      </c>
      <c r="G53">
        <v>55</v>
      </c>
      <c r="H53" s="13" t="s">
        <v>333</v>
      </c>
      <c r="I53" s="13" t="s">
        <v>791</v>
      </c>
      <c r="J53" s="13" t="s">
        <v>792</v>
      </c>
      <c r="K53" s="13" t="s">
        <v>793</v>
      </c>
      <c r="L53" s="13" t="s">
        <v>1887</v>
      </c>
      <c r="M53" s="13" t="s">
        <v>983</v>
      </c>
      <c r="N53" s="13" t="s">
        <v>981</v>
      </c>
      <c r="O53" s="13">
        <v>10195101</v>
      </c>
      <c r="P53" s="13" t="s">
        <v>334</v>
      </c>
      <c r="Q53" s="13">
        <v>128.601761167126</v>
      </c>
      <c r="R53" s="13">
        <v>37.079488430605998</v>
      </c>
    </row>
    <row r="54" spans="1:18" x14ac:dyDescent="0.3">
      <c r="A54" t="s">
        <v>42</v>
      </c>
      <c r="B54" t="s">
        <v>980</v>
      </c>
      <c r="C54" t="s">
        <v>981</v>
      </c>
      <c r="D54" t="s">
        <v>982</v>
      </c>
      <c r="E54">
        <v>4</v>
      </c>
      <c r="F54">
        <v>9</v>
      </c>
      <c r="G54">
        <v>5</v>
      </c>
      <c r="H54" s="13" t="s">
        <v>42</v>
      </c>
      <c r="I54" s="13" t="s">
        <v>874</v>
      </c>
      <c r="J54" s="13"/>
      <c r="K54" s="13"/>
      <c r="L54" s="13" t="s">
        <v>1886</v>
      </c>
      <c r="M54" s="13"/>
      <c r="N54" s="13" t="s">
        <v>981</v>
      </c>
      <c r="O54" s="13">
        <v>8239112</v>
      </c>
      <c r="P54" s="13" t="s">
        <v>335</v>
      </c>
      <c r="Q54" s="13">
        <v>128.60205704891101</v>
      </c>
      <c r="R54" s="13">
        <v>37.083288341253798</v>
      </c>
    </row>
    <row r="55" spans="1:18" x14ac:dyDescent="0.3">
      <c r="A55" t="s">
        <v>43</v>
      </c>
      <c r="B55" t="s">
        <v>876</v>
      </c>
      <c r="C55" t="s">
        <v>984</v>
      </c>
      <c r="D55" t="s">
        <v>985</v>
      </c>
      <c r="E55">
        <v>3.9</v>
      </c>
      <c r="F55">
        <v>44</v>
      </c>
      <c r="G55">
        <v>207</v>
      </c>
      <c r="H55" s="13" t="s">
        <v>43</v>
      </c>
      <c r="I55" s="13" t="s">
        <v>986</v>
      </c>
      <c r="J55" s="13"/>
      <c r="K55" s="13"/>
      <c r="L55" s="13" t="s">
        <v>1885</v>
      </c>
      <c r="M55" s="13" t="s">
        <v>987</v>
      </c>
      <c r="N55" s="13" t="s">
        <v>984</v>
      </c>
      <c r="O55" s="13">
        <v>1641336553</v>
      </c>
      <c r="P55" s="13" t="s">
        <v>336</v>
      </c>
      <c r="Q55" s="13">
        <v>127.717738775464</v>
      </c>
      <c r="R55" s="13">
        <v>37.818302116871898</v>
      </c>
    </row>
    <row r="56" spans="1:18" x14ac:dyDescent="0.3">
      <c r="A56" t="s">
        <v>44</v>
      </c>
      <c r="B56" t="s">
        <v>807</v>
      </c>
      <c r="C56" t="s">
        <v>927</v>
      </c>
      <c r="D56" t="s">
        <v>988</v>
      </c>
      <c r="E56">
        <v>2.8</v>
      </c>
      <c r="F56">
        <v>63</v>
      </c>
      <c r="G56">
        <v>108</v>
      </c>
      <c r="H56" s="13" t="s">
        <v>337</v>
      </c>
      <c r="I56" s="13" t="s">
        <v>989</v>
      </c>
      <c r="J56" s="13" t="s">
        <v>792</v>
      </c>
      <c r="K56" s="13" t="s">
        <v>793</v>
      </c>
      <c r="L56" s="13" t="s">
        <v>1884</v>
      </c>
      <c r="M56" s="13"/>
      <c r="N56" s="13" t="s">
        <v>990</v>
      </c>
      <c r="O56" s="13">
        <v>8013497</v>
      </c>
      <c r="P56" s="13" t="s">
        <v>338</v>
      </c>
      <c r="Q56" s="13">
        <v>128.44363125255799</v>
      </c>
      <c r="R56" s="13">
        <v>38.474256642000903</v>
      </c>
    </row>
    <row r="57" spans="1:18" x14ac:dyDescent="0.3">
      <c r="A57" t="s">
        <v>45</v>
      </c>
      <c r="B57" t="s">
        <v>941</v>
      </c>
      <c r="C57" t="s">
        <v>991</v>
      </c>
      <c r="D57" t="s">
        <v>992</v>
      </c>
      <c r="E57">
        <v>4.4000000000000004</v>
      </c>
      <c r="F57">
        <v>40</v>
      </c>
      <c r="G57">
        <v>309</v>
      </c>
      <c r="H57" s="13" t="s">
        <v>339</v>
      </c>
      <c r="I57" s="13" t="s">
        <v>993</v>
      </c>
      <c r="J57" s="13" t="s">
        <v>994</v>
      </c>
      <c r="K57" s="13" t="s">
        <v>995</v>
      </c>
      <c r="L57" s="13" t="s">
        <v>1883</v>
      </c>
      <c r="M57" s="13" t="s">
        <v>996</v>
      </c>
      <c r="N57" s="13" t="s">
        <v>997</v>
      </c>
      <c r="O57" s="13">
        <v>291863218</v>
      </c>
      <c r="P57" s="13" t="s">
        <v>340</v>
      </c>
      <c r="Q57" s="13">
        <v>128.668310055604</v>
      </c>
      <c r="R57" s="13">
        <v>37.4498244324949</v>
      </c>
    </row>
    <row r="58" spans="1:18" x14ac:dyDescent="0.3">
      <c r="A58" t="s">
        <v>46</v>
      </c>
      <c r="B58" t="s">
        <v>838</v>
      </c>
      <c r="C58" t="s">
        <v>998</v>
      </c>
      <c r="D58" t="s">
        <v>999</v>
      </c>
      <c r="E58">
        <v>4.7</v>
      </c>
      <c r="F58">
        <v>48</v>
      </c>
      <c r="G58">
        <v>4</v>
      </c>
      <c r="H58" s="13" t="s">
        <v>46</v>
      </c>
      <c r="I58" s="13" t="s">
        <v>899</v>
      </c>
      <c r="J58" s="13"/>
      <c r="K58" s="13"/>
      <c r="L58" s="13" t="s">
        <v>1882</v>
      </c>
      <c r="M58" s="13" t="s">
        <v>1000</v>
      </c>
      <c r="N58" s="13" t="s">
        <v>1001</v>
      </c>
      <c r="O58" s="13">
        <v>18059918</v>
      </c>
      <c r="P58" s="13" t="s">
        <v>341</v>
      </c>
      <c r="Q58" s="13">
        <v>128.62977835488701</v>
      </c>
      <c r="R58" s="13">
        <v>38.126616673442498</v>
      </c>
    </row>
    <row r="59" spans="1:18" x14ac:dyDescent="0.3">
      <c r="A59" t="s">
        <v>47</v>
      </c>
      <c r="B59" t="s">
        <v>885</v>
      </c>
      <c r="C59" t="s">
        <v>1002</v>
      </c>
      <c r="D59" t="s">
        <v>1003</v>
      </c>
      <c r="E59">
        <v>4</v>
      </c>
      <c r="F59">
        <v>7</v>
      </c>
      <c r="G59">
        <v>0</v>
      </c>
      <c r="H59" s="13" t="s">
        <v>342</v>
      </c>
      <c r="I59" s="13" t="s">
        <v>882</v>
      </c>
      <c r="J59" s="13"/>
      <c r="K59" s="13"/>
      <c r="L59" s="13" t="s">
        <v>1881</v>
      </c>
      <c r="M59" s="13" t="s">
        <v>1004</v>
      </c>
      <c r="N59" s="13"/>
      <c r="O59" s="13">
        <v>17807543</v>
      </c>
      <c r="P59" s="13" t="s">
        <v>343</v>
      </c>
      <c r="Q59" s="13">
        <v>129.32764548335899</v>
      </c>
      <c r="R59" s="13">
        <v>37.267368617963101</v>
      </c>
    </row>
    <row r="60" spans="1:18" x14ac:dyDescent="0.3">
      <c r="A60" t="s">
        <v>344</v>
      </c>
      <c r="B60" t="s">
        <v>838</v>
      </c>
      <c r="C60" t="s">
        <v>1005</v>
      </c>
      <c r="D60" t="s">
        <v>1006</v>
      </c>
      <c r="E60">
        <v>5</v>
      </c>
      <c r="F60">
        <v>1</v>
      </c>
      <c r="G60">
        <v>15</v>
      </c>
      <c r="H60" s="13" t="s">
        <v>344</v>
      </c>
      <c r="I60" s="13" t="s">
        <v>1007</v>
      </c>
      <c r="J60" s="13"/>
      <c r="K60" s="13"/>
      <c r="L60" s="13" t="s">
        <v>1880</v>
      </c>
      <c r="M60" s="13"/>
      <c r="N60" s="13"/>
      <c r="O60" s="13">
        <v>8251908</v>
      </c>
      <c r="P60" s="13" t="s">
        <v>345</v>
      </c>
      <c r="Q60" s="13">
        <v>128.62426987098101</v>
      </c>
      <c r="R60" s="13">
        <v>38.071713708028398</v>
      </c>
    </row>
    <row r="61" spans="1:18" x14ac:dyDescent="0.3">
      <c r="A61" t="s">
        <v>48</v>
      </c>
      <c r="B61" t="s">
        <v>838</v>
      </c>
      <c r="C61" t="s">
        <v>1008</v>
      </c>
      <c r="D61" t="s">
        <v>840</v>
      </c>
      <c r="E61">
        <v>4.5</v>
      </c>
      <c r="F61">
        <v>17</v>
      </c>
      <c r="G61">
        <v>37</v>
      </c>
      <c r="H61" s="13" t="s">
        <v>48</v>
      </c>
      <c r="I61" s="13" t="s">
        <v>1009</v>
      </c>
      <c r="J61" s="13"/>
      <c r="K61" s="13"/>
      <c r="L61" s="13" t="s">
        <v>1879</v>
      </c>
      <c r="M61" s="13"/>
      <c r="N61" s="13"/>
      <c r="O61" s="13">
        <v>8226156</v>
      </c>
      <c r="P61" s="13" t="s">
        <v>346</v>
      </c>
      <c r="Q61" s="13">
        <v>128.78740585701499</v>
      </c>
      <c r="R61" s="13">
        <v>37.944487913925002</v>
      </c>
    </row>
    <row r="62" spans="1:18" x14ac:dyDescent="0.3">
      <c r="A62" t="s">
        <v>49</v>
      </c>
      <c r="B62" t="s">
        <v>876</v>
      </c>
      <c r="C62" t="s">
        <v>1010</v>
      </c>
      <c r="D62" t="s">
        <v>1011</v>
      </c>
      <c r="E62">
        <v>3.5</v>
      </c>
      <c r="F62">
        <v>413</v>
      </c>
      <c r="G62">
        <v>1434</v>
      </c>
      <c r="H62" s="13" t="s">
        <v>49</v>
      </c>
      <c r="I62" s="13" t="s">
        <v>1012</v>
      </c>
      <c r="J62" s="13" t="s">
        <v>799</v>
      </c>
      <c r="K62" s="13" t="s">
        <v>800</v>
      </c>
      <c r="L62" s="13" t="s">
        <v>1878</v>
      </c>
      <c r="M62" s="13" t="s">
        <v>1013</v>
      </c>
      <c r="N62" s="13" t="s">
        <v>1014</v>
      </c>
      <c r="O62" s="13">
        <v>11276521</v>
      </c>
      <c r="P62" s="13" t="s">
        <v>347</v>
      </c>
      <c r="Q62" s="13">
        <v>127.52522723620299</v>
      </c>
      <c r="R62" s="13">
        <v>37.791449678411801</v>
      </c>
    </row>
    <row r="63" spans="1:18" x14ac:dyDescent="0.3">
      <c r="A63" t="s">
        <v>50</v>
      </c>
      <c r="B63" t="s">
        <v>1015</v>
      </c>
      <c r="C63" t="s">
        <v>1016</v>
      </c>
      <c r="D63" t="s">
        <v>1017</v>
      </c>
      <c r="E63">
        <v>4.4000000000000004</v>
      </c>
      <c r="F63">
        <v>91</v>
      </c>
      <c r="G63">
        <v>186</v>
      </c>
      <c r="H63" s="13" t="s">
        <v>50</v>
      </c>
      <c r="I63" s="13" t="s">
        <v>896</v>
      </c>
      <c r="J63" s="13"/>
      <c r="K63" s="13"/>
      <c r="L63" s="13" t="s">
        <v>1877</v>
      </c>
      <c r="M63" s="13"/>
      <c r="N63" s="13"/>
      <c r="O63" s="13">
        <v>25042265</v>
      </c>
      <c r="P63" s="13" t="s">
        <v>348</v>
      </c>
      <c r="Q63" s="13">
        <v>129.11647504471</v>
      </c>
      <c r="R63" s="13">
        <v>37.552770903695702</v>
      </c>
    </row>
    <row r="64" spans="1:18" x14ac:dyDescent="0.3">
      <c r="A64" t="s">
        <v>51</v>
      </c>
      <c r="B64" t="s">
        <v>807</v>
      </c>
      <c r="C64" t="s">
        <v>1018</v>
      </c>
      <c r="D64" t="s">
        <v>1019</v>
      </c>
      <c r="E64">
        <v>4.3</v>
      </c>
      <c r="F64">
        <v>10</v>
      </c>
      <c r="G64">
        <v>0</v>
      </c>
      <c r="H64" s="13" t="s">
        <v>51</v>
      </c>
      <c r="I64" s="13" t="s">
        <v>896</v>
      </c>
      <c r="J64" s="13"/>
      <c r="K64" s="13"/>
      <c r="L64" s="13" t="s">
        <v>1876</v>
      </c>
      <c r="M64" s="13"/>
      <c r="N64" s="13"/>
      <c r="O64" s="13">
        <v>24876688</v>
      </c>
      <c r="P64" s="13" t="s">
        <v>349</v>
      </c>
      <c r="Q64" s="13">
        <v>128.54986250699599</v>
      </c>
      <c r="R64" s="13">
        <v>38.296609143684599</v>
      </c>
    </row>
    <row r="65" spans="1:18" x14ac:dyDescent="0.3">
      <c r="A65" t="s">
        <v>52</v>
      </c>
      <c r="B65" t="s">
        <v>1020</v>
      </c>
      <c r="C65" t="s">
        <v>1021</v>
      </c>
      <c r="E65">
        <v>3.9</v>
      </c>
      <c r="F65">
        <v>181</v>
      </c>
      <c r="G65">
        <v>1265</v>
      </c>
      <c r="H65" s="13" t="s">
        <v>350</v>
      </c>
      <c r="I65" s="13" t="s">
        <v>1022</v>
      </c>
      <c r="J65" s="13"/>
      <c r="K65" s="13"/>
      <c r="L65" s="13" t="s">
        <v>1875</v>
      </c>
      <c r="M65" s="13" t="s">
        <v>1023</v>
      </c>
      <c r="N65" s="13" t="s">
        <v>1021</v>
      </c>
      <c r="O65" s="13">
        <v>10260730</v>
      </c>
      <c r="P65" s="13" t="s">
        <v>352</v>
      </c>
      <c r="Q65" s="13">
        <v>128.75297306500099</v>
      </c>
      <c r="R65" s="13">
        <v>37.689787560758901</v>
      </c>
    </row>
    <row r="66" spans="1:18" x14ac:dyDescent="0.3">
      <c r="A66" t="s">
        <v>53</v>
      </c>
      <c r="B66" t="s">
        <v>788</v>
      </c>
      <c r="C66" t="s">
        <v>1024</v>
      </c>
      <c r="D66" t="s">
        <v>1025</v>
      </c>
      <c r="E66">
        <v>3.8</v>
      </c>
      <c r="F66">
        <v>81</v>
      </c>
      <c r="G66">
        <v>30</v>
      </c>
      <c r="H66" s="13" t="s">
        <v>53</v>
      </c>
      <c r="I66" s="13" t="s">
        <v>1022</v>
      </c>
      <c r="J66" s="13"/>
      <c r="K66" s="13"/>
      <c r="L66" s="13" t="s">
        <v>1874</v>
      </c>
      <c r="M66" s="13" t="s">
        <v>1026</v>
      </c>
      <c r="N66" s="13" t="s">
        <v>1024</v>
      </c>
      <c r="O66" s="13">
        <v>1926175775</v>
      </c>
      <c r="P66" s="13" t="s">
        <v>353</v>
      </c>
      <c r="Q66" s="13">
        <v>128.73216386847901</v>
      </c>
      <c r="R66" s="13">
        <v>37.711702524562902</v>
      </c>
    </row>
    <row r="67" spans="1:18" x14ac:dyDescent="0.3">
      <c r="A67" t="s">
        <v>54</v>
      </c>
      <c r="B67" t="s">
        <v>803</v>
      </c>
      <c r="C67" t="s">
        <v>1027</v>
      </c>
      <c r="D67" t="s">
        <v>1028</v>
      </c>
      <c r="E67">
        <v>4.3</v>
      </c>
      <c r="F67">
        <v>42</v>
      </c>
      <c r="G67">
        <v>5</v>
      </c>
      <c r="H67" s="13" t="s">
        <v>354</v>
      </c>
      <c r="I67" s="13" t="s">
        <v>944</v>
      </c>
      <c r="J67" s="13" t="s">
        <v>799</v>
      </c>
      <c r="K67" s="13" t="s">
        <v>800</v>
      </c>
      <c r="L67" s="13" t="s">
        <v>1873</v>
      </c>
      <c r="M67" s="13" t="s">
        <v>1029</v>
      </c>
      <c r="N67" s="13" t="s">
        <v>1027</v>
      </c>
      <c r="O67" s="13">
        <v>8302996</v>
      </c>
      <c r="P67" s="13" t="s">
        <v>355</v>
      </c>
      <c r="Q67" s="13">
        <v>128.785962043691</v>
      </c>
      <c r="R67" s="13">
        <v>37.712662631247902</v>
      </c>
    </row>
    <row r="68" spans="1:18" x14ac:dyDescent="0.3">
      <c r="A68" t="s">
        <v>356</v>
      </c>
      <c r="B68" t="s">
        <v>929</v>
      </c>
      <c r="C68" t="s">
        <v>1030</v>
      </c>
      <c r="E68">
        <v>4.8</v>
      </c>
      <c r="F68">
        <v>13</v>
      </c>
      <c r="G68">
        <v>36</v>
      </c>
      <c r="H68" s="13" t="s">
        <v>356</v>
      </c>
      <c r="I68" s="13" t="s">
        <v>1031</v>
      </c>
      <c r="J68" s="13"/>
      <c r="K68" s="13"/>
      <c r="L68" s="13" t="s">
        <v>1872</v>
      </c>
      <c r="M68" s="13"/>
      <c r="N68" s="13"/>
      <c r="O68" s="13">
        <v>7821105</v>
      </c>
      <c r="P68" s="13" t="s">
        <v>357</v>
      </c>
      <c r="Q68" s="13">
        <v>128.12461064551701</v>
      </c>
      <c r="R68" s="13">
        <v>38.216291221131399</v>
      </c>
    </row>
    <row r="69" spans="1:18" x14ac:dyDescent="0.3">
      <c r="A69" t="s">
        <v>55</v>
      </c>
      <c r="B69" t="s">
        <v>1015</v>
      </c>
      <c r="C69" t="s">
        <v>1032</v>
      </c>
      <c r="D69" t="s">
        <v>1017</v>
      </c>
      <c r="E69">
        <v>3</v>
      </c>
      <c r="F69">
        <v>6</v>
      </c>
      <c r="G69">
        <v>0</v>
      </c>
      <c r="H69" s="13" t="s">
        <v>55</v>
      </c>
      <c r="I69" s="13" t="s">
        <v>854</v>
      </c>
      <c r="J69" s="13" t="s">
        <v>799</v>
      </c>
      <c r="K69" s="13" t="s">
        <v>800</v>
      </c>
      <c r="L69" s="13" t="s">
        <v>1871</v>
      </c>
      <c r="M69" s="13"/>
      <c r="N69" s="13"/>
      <c r="O69" s="13">
        <v>7828533</v>
      </c>
      <c r="P69" s="13" t="s">
        <v>358</v>
      </c>
      <c r="Q69" s="13">
        <v>129.109715881418</v>
      </c>
      <c r="R69" s="13">
        <v>37.581381815303203</v>
      </c>
    </row>
    <row r="70" spans="1:18" x14ac:dyDescent="0.3">
      <c r="A70" t="s">
        <v>56</v>
      </c>
      <c r="B70" t="s">
        <v>885</v>
      </c>
      <c r="C70" t="s">
        <v>1033</v>
      </c>
      <c r="D70" t="s">
        <v>1034</v>
      </c>
      <c r="E70">
        <v>4.5999999999999996</v>
      </c>
      <c r="F70">
        <v>12</v>
      </c>
      <c r="G70">
        <v>103</v>
      </c>
      <c r="H70" s="13" t="s">
        <v>56</v>
      </c>
      <c r="I70" s="13" t="s">
        <v>973</v>
      </c>
      <c r="J70" s="13" t="s">
        <v>799</v>
      </c>
      <c r="K70" s="13" t="s">
        <v>800</v>
      </c>
      <c r="L70" s="13" t="s">
        <v>1870</v>
      </c>
      <c r="M70" s="13"/>
      <c r="N70" s="13"/>
      <c r="O70" s="13">
        <v>405308632</v>
      </c>
      <c r="P70" s="13" t="s">
        <v>359</v>
      </c>
      <c r="Q70" s="13">
        <v>129.239816338682</v>
      </c>
      <c r="R70" s="13">
        <v>37.386212794180999</v>
      </c>
    </row>
    <row r="71" spans="1:18" x14ac:dyDescent="0.3">
      <c r="A71" t="s">
        <v>57</v>
      </c>
      <c r="B71" t="s">
        <v>1015</v>
      </c>
      <c r="C71" t="s">
        <v>1035</v>
      </c>
      <c r="D71" t="s">
        <v>1036</v>
      </c>
      <c r="E71">
        <v>4.3</v>
      </c>
      <c r="F71">
        <v>144</v>
      </c>
      <c r="G71">
        <v>472</v>
      </c>
      <c r="H71" s="13" t="s">
        <v>57</v>
      </c>
      <c r="I71" s="13" t="s">
        <v>896</v>
      </c>
      <c r="J71" s="13"/>
      <c r="K71" s="13"/>
      <c r="L71" s="13" t="s">
        <v>1869</v>
      </c>
      <c r="M71" s="13"/>
      <c r="N71" s="13" t="s">
        <v>1035</v>
      </c>
      <c r="O71" s="13">
        <v>1437031172</v>
      </c>
      <c r="P71" s="13" t="s">
        <v>360</v>
      </c>
      <c r="Q71" s="13">
        <v>129.11913086409101</v>
      </c>
      <c r="R71" s="13">
        <v>37.555254601862799</v>
      </c>
    </row>
    <row r="72" spans="1:18" x14ac:dyDescent="0.3">
      <c r="A72" t="s">
        <v>58</v>
      </c>
      <c r="B72" t="s">
        <v>980</v>
      </c>
      <c r="C72" t="s">
        <v>1037</v>
      </c>
      <c r="D72" t="s">
        <v>1038</v>
      </c>
      <c r="E72">
        <v>4.5999999999999996</v>
      </c>
      <c r="F72">
        <v>31</v>
      </c>
      <c r="G72">
        <v>395</v>
      </c>
      <c r="H72" s="13" t="s">
        <v>58</v>
      </c>
      <c r="I72" s="13" t="s">
        <v>1039</v>
      </c>
      <c r="J72" s="13"/>
      <c r="K72" s="13"/>
      <c r="L72" s="13" t="s">
        <v>1868</v>
      </c>
      <c r="M72" s="13" t="s">
        <v>1040</v>
      </c>
      <c r="N72" s="13" t="s">
        <v>1041</v>
      </c>
      <c r="O72" s="13">
        <v>10304718</v>
      </c>
      <c r="P72" s="13" t="s">
        <v>362</v>
      </c>
      <c r="Q72" s="13">
        <v>128.51028911205199</v>
      </c>
      <c r="R72" s="13">
        <v>37.233138825618099</v>
      </c>
    </row>
    <row r="73" spans="1:18" x14ac:dyDescent="0.3">
      <c r="A73" t="s">
        <v>59</v>
      </c>
      <c r="B73" t="s">
        <v>941</v>
      </c>
      <c r="C73" t="s">
        <v>1042</v>
      </c>
      <c r="D73" t="s">
        <v>1043</v>
      </c>
      <c r="E73">
        <v>4.4000000000000004</v>
      </c>
      <c r="F73">
        <v>40</v>
      </c>
      <c r="G73">
        <v>58</v>
      </c>
      <c r="H73" s="13" t="s">
        <v>59</v>
      </c>
      <c r="I73" s="13" t="s">
        <v>1044</v>
      </c>
      <c r="J73" s="13" t="s">
        <v>908</v>
      </c>
      <c r="K73" s="13" t="s">
        <v>909</v>
      </c>
      <c r="L73" s="13" t="s">
        <v>1867</v>
      </c>
      <c r="M73" s="13" t="s">
        <v>1045</v>
      </c>
      <c r="N73" s="13" t="s">
        <v>1042</v>
      </c>
      <c r="O73" s="13">
        <v>21426512</v>
      </c>
      <c r="P73" s="13" t="s">
        <v>363</v>
      </c>
      <c r="Q73" s="13">
        <v>128.60835595794001</v>
      </c>
      <c r="R73" s="13">
        <v>37.260834437584201</v>
      </c>
    </row>
    <row r="74" spans="1:18" x14ac:dyDescent="0.3">
      <c r="A74" t="s">
        <v>364</v>
      </c>
      <c r="B74" t="s">
        <v>894</v>
      </c>
      <c r="C74" t="s">
        <v>895</v>
      </c>
      <c r="E74">
        <v>0</v>
      </c>
      <c r="F74">
        <v>30</v>
      </c>
      <c r="G74">
        <v>3</v>
      </c>
      <c r="H74" s="13" t="s">
        <v>365</v>
      </c>
      <c r="I74" s="13" t="s">
        <v>1046</v>
      </c>
      <c r="J74" s="13"/>
      <c r="K74" s="13"/>
      <c r="L74" s="13" t="s">
        <v>1866</v>
      </c>
      <c r="M74" s="13"/>
      <c r="N74" s="13"/>
      <c r="O74" s="13">
        <v>18848465</v>
      </c>
      <c r="P74" s="13" t="s">
        <v>366</v>
      </c>
      <c r="Q74" s="13">
        <v>127.664160846589</v>
      </c>
      <c r="R74" s="13">
        <v>38.041386405395897</v>
      </c>
    </row>
    <row r="75" spans="1:18" x14ac:dyDescent="0.3">
      <c r="A75" t="s">
        <v>60</v>
      </c>
      <c r="B75" t="s">
        <v>980</v>
      </c>
      <c r="C75" t="s">
        <v>1047</v>
      </c>
      <c r="D75" t="s">
        <v>1048</v>
      </c>
      <c r="E75">
        <v>4.5</v>
      </c>
      <c r="F75">
        <v>17</v>
      </c>
      <c r="G75">
        <v>123</v>
      </c>
      <c r="H75" s="13" t="s">
        <v>60</v>
      </c>
      <c r="I75" s="13" t="s">
        <v>896</v>
      </c>
      <c r="J75" s="13"/>
      <c r="K75" s="13"/>
      <c r="L75" s="13" t="s">
        <v>1865</v>
      </c>
      <c r="M75" s="13"/>
      <c r="N75" s="13" t="s">
        <v>1049</v>
      </c>
      <c r="O75" s="13">
        <v>1960058011</v>
      </c>
      <c r="P75" s="13" t="s">
        <v>367</v>
      </c>
      <c r="Q75" s="13">
        <v>128.40950169928399</v>
      </c>
      <c r="R75" s="13">
        <v>37.188467767908797</v>
      </c>
    </row>
    <row r="76" spans="1:18" x14ac:dyDescent="0.3">
      <c r="A76" t="s">
        <v>61</v>
      </c>
      <c r="B76" t="s">
        <v>1015</v>
      </c>
      <c r="C76" t="s">
        <v>1050</v>
      </c>
      <c r="D76" t="s">
        <v>1051</v>
      </c>
      <c r="E76">
        <v>4.4000000000000004</v>
      </c>
      <c r="F76">
        <v>19</v>
      </c>
      <c r="G76">
        <v>24</v>
      </c>
      <c r="H76" s="13" t="s">
        <v>61</v>
      </c>
      <c r="I76" s="13" t="s">
        <v>1052</v>
      </c>
      <c r="J76" s="13" t="s">
        <v>908</v>
      </c>
      <c r="K76" s="13" t="s">
        <v>909</v>
      </c>
      <c r="L76" s="13" t="s">
        <v>1864</v>
      </c>
      <c r="M76" s="13" t="s">
        <v>1053</v>
      </c>
      <c r="N76" s="13" t="s">
        <v>1050</v>
      </c>
      <c r="O76" s="13">
        <v>27299636</v>
      </c>
      <c r="P76" s="13" t="s">
        <v>368</v>
      </c>
      <c r="Q76" s="13">
        <v>129.03124100245799</v>
      </c>
      <c r="R76" s="13">
        <v>37.465113503690397</v>
      </c>
    </row>
    <row r="77" spans="1:18" x14ac:dyDescent="0.3">
      <c r="A77" t="s">
        <v>369</v>
      </c>
      <c r="B77" t="s">
        <v>1015</v>
      </c>
      <c r="C77" t="s">
        <v>1054</v>
      </c>
      <c r="D77" t="s">
        <v>1055</v>
      </c>
      <c r="E77">
        <v>4.3</v>
      </c>
      <c r="F77">
        <v>12</v>
      </c>
      <c r="G77">
        <v>5</v>
      </c>
      <c r="H77" s="13" t="s">
        <v>369</v>
      </c>
      <c r="I77" s="13" t="s">
        <v>874</v>
      </c>
      <c r="J77" s="13"/>
      <c r="K77" s="13"/>
      <c r="L77" s="13" t="s">
        <v>1863</v>
      </c>
      <c r="M77" s="13"/>
      <c r="N77" s="13"/>
      <c r="O77" s="13">
        <v>8400497</v>
      </c>
      <c r="P77" s="13" t="s">
        <v>370</v>
      </c>
      <c r="Q77" s="13">
        <v>129.15900651106699</v>
      </c>
      <c r="R77" s="13">
        <v>37.479158839025402</v>
      </c>
    </row>
    <row r="78" spans="1:18" x14ac:dyDescent="0.3">
      <c r="A78" t="s">
        <v>62</v>
      </c>
      <c r="B78" t="s">
        <v>832</v>
      </c>
      <c r="C78" t="s">
        <v>1056</v>
      </c>
      <c r="D78" t="s">
        <v>1057</v>
      </c>
      <c r="E78">
        <v>4.4000000000000004</v>
      </c>
      <c r="F78">
        <v>41</v>
      </c>
      <c r="G78">
        <v>183</v>
      </c>
      <c r="H78" s="13" t="s">
        <v>62</v>
      </c>
      <c r="I78" s="13" t="s">
        <v>850</v>
      </c>
      <c r="J78" s="13" t="s">
        <v>799</v>
      </c>
      <c r="K78" s="13" t="s">
        <v>800</v>
      </c>
      <c r="L78" s="13" t="s">
        <v>1862</v>
      </c>
      <c r="M78" s="13"/>
      <c r="N78" s="13" t="s">
        <v>1056</v>
      </c>
      <c r="O78" s="13">
        <v>1099711468</v>
      </c>
      <c r="P78" s="13" t="s">
        <v>371</v>
      </c>
      <c r="Q78" s="13">
        <v>127.855599701901</v>
      </c>
      <c r="R78" s="13">
        <v>37.3143004503386</v>
      </c>
    </row>
    <row r="79" spans="1:18" x14ac:dyDescent="0.3">
      <c r="A79" t="s">
        <v>372</v>
      </c>
      <c r="B79" t="s">
        <v>894</v>
      </c>
      <c r="C79" t="s">
        <v>1058</v>
      </c>
      <c r="E79">
        <v>4.5</v>
      </c>
      <c r="F79">
        <v>11</v>
      </c>
      <c r="G79">
        <v>2</v>
      </c>
      <c r="H79" s="13" t="s">
        <v>373</v>
      </c>
      <c r="I79" s="13" t="s">
        <v>1059</v>
      </c>
      <c r="J79" s="13" t="s">
        <v>799</v>
      </c>
      <c r="K79" s="13" t="s">
        <v>800</v>
      </c>
      <c r="L79" s="13" t="s">
        <v>1861</v>
      </c>
      <c r="M79" s="13"/>
      <c r="N79" s="13"/>
      <c r="O79" s="13">
        <v>27024684</v>
      </c>
      <c r="P79" s="13" t="s">
        <v>374</v>
      </c>
      <c r="Q79" s="13">
        <v>127.75924370572</v>
      </c>
      <c r="R79" s="13">
        <v>38.122862748612398</v>
      </c>
    </row>
    <row r="80" spans="1:18" x14ac:dyDescent="0.3">
      <c r="A80" t="s">
        <v>63</v>
      </c>
      <c r="B80" t="s">
        <v>980</v>
      </c>
      <c r="C80" t="s">
        <v>1060</v>
      </c>
      <c r="D80" t="s">
        <v>1061</v>
      </c>
      <c r="E80">
        <v>3.9</v>
      </c>
      <c r="F80">
        <v>17</v>
      </c>
      <c r="G80">
        <v>100</v>
      </c>
      <c r="H80" s="13" t="s">
        <v>63</v>
      </c>
      <c r="I80" s="13" t="s">
        <v>810</v>
      </c>
      <c r="J80" s="13" t="s">
        <v>792</v>
      </c>
      <c r="K80" s="13" t="s">
        <v>793</v>
      </c>
      <c r="L80" s="13" t="s">
        <v>1860</v>
      </c>
      <c r="M80" s="13" t="s">
        <v>1062</v>
      </c>
      <c r="N80" s="13" t="s">
        <v>1060</v>
      </c>
      <c r="O80" s="13">
        <v>26274510</v>
      </c>
      <c r="P80" s="13" t="s">
        <v>375</v>
      </c>
      <c r="Q80" s="13">
        <v>128.47686753106001</v>
      </c>
      <c r="R80" s="13">
        <v>37.185246839470103</v>
      </c>
    </row>
    <row r="81" spans="1:18" x14ac:dyDescent="0.3">
      <c r="A81" t="s">
        <v>64</v>
      </c>
      <c r="B81" t="s">
        <v>941</v>
      </c>
      <c r="C81" t="s">
        <v>1063</v>
      </c>
      <c r="D81" t="s">
        <v>1064</v>
      </c>
      <c r="E81">
        <v>0</v>
      </c>
      <c r="F81">
        <v>30</v>
      </c>
      <c r="G81">
        <v>47</v>
      </c>
      <c r="H81" s="13" t="s">
        <v>376</v>
      </c>
      <c r="I81" s="13" t="s">
        <v>850</v>
      </c>
      <c r="J81" s="13" t="s">
        <v>799</v>
      </c>
      <c r="K81" s="13" t="s">
        <v>800</v>
      </c>
      <c r="L81" s="13" t="s">
        <v>1859</v>
      </c>
      <c r="M81" s="13" t="s">
        <v>1065</v>
      </c>
      <c r="N81" s="13" t="s">
        <v>1066</v>
      </c>
      <c r="O81" s="13">
        <v>1571203637</v>
      </c>
      <c r="P81" s="13" t="s">
        <v>377</v>
      </c>
      <c r="Q81" s="13">
        <v>128.64112301780099</v>
      </c>
      <c r="R81" s="13">
        <v>37.436430150030397</v>
      </c>
    </row>
    <row r="82" spans="1:18" x14ac:dyDescent="0.3">
      <c r="A82" t="s">
        <v>378</v>
      </c>
      <c r="B82" t="s">
        <v>980</v>
      </c>
      <c r="C82" t="s">
        <v>1067</v>
      </c>
      <c r="D82" t="s">
        <v>1068</v>
      </c>
      <c r="E82">
        <v>0</v>
      </c>
      <c r="F82">
        <v>0</v>
      </c>
      <c r="G82">
        <v>97</v>
      </c>
      <c r="H82" s="13" t="s">
        <v>378</v>
      </c>
      <c r="I82" s="13" t="s">
        <v>1039</v>
      </c>
      <c r="J82" s="13"/>
      <c r="K82" s="13"/>
      <c r="L82" s="13" t="s">
        <v>1858</v>
      </c>
      <c r="M82" s="13" t="s">
        <v>1069</v>
      </c>
      <c r="N82" s="13"/>
      <c r="O82" s="13">
        <v>1908834498</v>
      </c>
      <c r="P82" s="13" t="s">
        <v>379</v>
      </c>
      <c r="Q82" s="13">
        <v>128.33247436362899</v>
      </c>
      <c r="R82" s="13">
        <v>37.8628892683736</v>
      </c>
    </row>
    <row r="83" spans="1:18" x14ac:dyDescent="0.3">
      <c r="A83" t="s">
        <v>380</v>
      </c>
      <c r="B83" t="s">
        <v>929</v>
      </c>
      <c r="C83" t="s">
        <v>1070</v>
      </c>
      <c r="D83" t="s">
        <v>1071</v>
      </c>
      <c r="E83">
        <v>3.8</v>
      </c>
      <c r="F83">
        <v>18</v>
      </c>
      <c r="G83">
        <v>63</v>
      </c>
      <c r="H83" s="13" t="s">
        <v>381</v>
      </c>
      <c r="I83" s="13" t="s">
        <v>1046</v>
      </c>
      <c r="J83" s="13"/>
      <c r="K83" s="13"/>
      <c r="L83" s="13" t="s">
        <v>1857</v>
      </c>
      <c r="M83" s="13"/>
      <c r="N83" s="13"/>
      <c r="O83" s="13">
        <v>25227488</v>
      </c>
      <c r="P83" s="13" t="s">
        <v>382</v>
      </c>
      <c r="Q83" s="13">
        <v>126.75240999727301</v>
      </c>
      <c r="R83" s="13">
        <v>37.327288357259903</v>
      </c>
    </row>
    <row r="84" spans="1:18" x14ac:dyDescent="0.3">
      <c r="A84" t="s">
        <v>65</v>
      </c>
      <c r="B84" t="s">
        <v>1015</v>
      </c>
      <c r="C84" t="s">
        <v>1072</v>
      </c>
      <c r="D84" t="s">
        <v>1073</v>
      </c>
      <c r="E84">
        <v>4.7</v>
      </c>
      <c r="F84">
        <v>40</v>
      </c>
      <c r="G84">
        <v>252</v>
      </c>
      <c r="H84" s="13" t="s">
        <v>65</v>
      </c>
      <c r="I84" s="13" t="s">
        <v>907</v>
      </c>
      <c r="J84" s="13" t="s">
        <v>908</v>
      </c>
      <c r="K84" s="13" t="s">
        <v>909</v>
      </c>
      <c r="L84" s="13" t="s">
        <v>1856</v>
      </c>
      <c r="M84" s="13" t="s">
        <v>1074</v>
      </c>
      <c r="N84" s="13" t="s">
        <v>1072</v>
      </c>
      <c r="O84" s="13">
        <v>816303389</v>
      </c>
      <c r="P84" s="13" t="s">
        <v>383</v>
      </c>
      <c r="Q84" s="13">
        <v>129.07845639764901</v>
      </c>
      <c r="R84" s="13">
        <v>37.600421822234097</v>
      </c>
    </row>
    <row r="85" spans="1:18" x14ac:dyDescent="0.3">
      <c r="A85" t="s">
        <v>66</v>
      </c>
      <c r="B85" t="s">
        <v>1015</v>
      </c>
      <c r="C85" t="s">
        <v>1075</v>
      </c>
      <c r="D85" t="s">
        <v>1076</v>
      </c>
      <c r="E85">
        <v>4.5</v>
      </c>
      <c r="F85">
        <v>123</v>
      </c>
      <c r="G85">
        <v>12</v>
      </c>
      <c r="H85" s="13" t="s">
        <v>66</v>
      </c>
      <c r="I85" s="13" t="s">
        <v>854</v>
      </c>
      <c r="J85" s="13" t="s">
        <v>799</v>
      </c>
      <c r="K85" s="13" t="s">
        <v>800</v>
      </c>
      <c r="L85" s="13" t="s">
        <v>1855</v>
      </c>
      <c r="M85" s="13" t="s">
        <v>1077</v>
      </c>
      <c r="N85" s="13" t="s">
        <v>1078</v>
      </c>
      <c r="O85" s="13">
        <v>11081458</v>
      </c>
      <c r="P85" s="13" t="s">
        <v>384</v>
      </c>
      <c r="Q85" s="13">
        <v>129.090473530107</v>
      </c>
      <c r="R85" s="13">
        <v>37.593373940653201</v>
      </c>
    </row>
    <row r="86" spans="1:18" x14ac:dyDescent="0.3">
      <c r="A86" t="s">
        <v>67</v>
      </c>
      <c r="B86" t="s">
        <v>795</v>
      </c>
      <c r="C86" t="s">
        <v>1079</v>
      </c>
      <c r="D86" t="s">
        <v>1080</v>
      </c>
      <c r="E86">
        <v>4</v>
      </c>
      <c r="F86">
        <v>90</v>
      </c>
      <c r="G86">
        <v>75</v>
      </c>
      <c r="H86" s="13" t="s">
        <v>385</v>
      </c>
      <c r="I86" s="13" t="s">
        <v>896</v>
      </c>
      <c r="J86" s="13"/>
      <c r="K86" s="13"/>
      <c r="L86" s="13" t="s">
        <v>1854</v>
      </c>
      <c r="M86" s="13"/>
      <c r="N86" s="13" t="s">
        <v>1079</v>
      </c>
      <c r="O86" s="13">
        <v>19125936</v>
      </c>
      <c r="P86" s="13" t="s">
        <v>386</v>
      </c>
      <c r="Q86" s="13">
        <v>128.96443180657201</v>
      </c>
      <c r="R86" s="13">
        <v>37.215112479800602</v>
      </c>
    </row>
    <row r="87" spans="1:18" x14ac:dyDescent="0.3">
      <c r="A87" t="s">
        <v>387</v>
      </c>
      <c r="B87" t="s">
        <v>813</v>
      </c>
      <c r="C87" t="s">
        <v>1081</v>
      </c>
      <c r="E87">
        <v>4</v>
      </c>
      <c r="F87">
        <v>4</v>
      </c>
      <c r="G87">
        <v>3</v>
      </c>
      <c r="H87" s="13" t="s">
        <v>388</v>
      </c>
      <c r="I87" s="13" t="s">
        <v>825</v>
      </c>
      <c r="J87" s="13"/>
      <c r="K87" s="13"/>
      <c r="L87" s="13" t="s">
        <v>1853</v>
      </c>
      <c r="M87" s="13"/>
      <c r="N87" s="13"/>
      <c r="O87" s="13">
        <v>7869451</v>
      </c>
      <c r="P87" s="13" t="s">
        <v>389</v>
      </c>
      <c r="Q87" s="13">
        <v>127.477702450273</v>
      </c>
      <c r="R87" s="13">
        <v>38.195265383730003</v>
      </c>
    </row>
    <row r="88" spans="1:18" x14ac:dyDescent="0.3">
      <c r="A88" t="s">
        <v>390</v>
      </c>
      <c r="B88" t="s">
        <v>795</v>
      </c>
      <c r="C88" t="s">
        <v>1082</v>
      </c>
      <c r="D88" t="s">
        <v>939</v>
      </c>
      <c r="E88">
        <v>3.5</v>
      </c>
      <c r="F88">
        <v>4</v>
      </c>
      <c r="G88">
        <v>0</v>
      </c>
      <c r="H88" s="13" t="s">
        <v>390</v>
      </c>
      <c r="I88" s="13" t="s">
        <v>861</v>
      </c>
      <c r="J88" s="13" t="s">
        <v>799</v>
      </c>
      <c r="K88" s="13" t="s">
        <v>800</v>
      </c>
      <c r="L88" s="13" t="s">
        <v>1852</v>
      </c>
      <c r="M88" s="13"/>
      <c r="N88" s="13"/>
      <c r="O88" s="13">
        <v>990096420</v>
      </c>
      <c r="P88" s="13" t="s">
        <v>391</v>
      </c>
      <c r="Q88" s="13">
        <v>128.97153052288499</v>
      </c>
      <c r="R88" s="13">
        <v>37.147548789735502</v>
      </c>
    </row>
    <row r="89" spans="1:18" x14ac:dyDescent="0.3">
      <c r="A89" t="s">
        <v>68</v>
      </c>
      <c r="B89" t="s">
        <v>1015</v>
      </c>
      <c r="C89" t="s">
        <v>1083</v>
      </c>
      <c r="D89" t="s">
        <v>1084</v>
      </c>
      <c r="E89">
        <v>3.8</v>
      </c>
      <c r="F89">
        <v>10</v>
      </c>
      <c r="G89">
        <v>25</v>
      </c>
      <c r="H89" s="13" t="s">
        <v>68</v>
      </c>
      <c r="I89" s="13" t="s">
        <v>1044</v>
      </c>
      <c r="J89" s="13" t="s">
        <v>908</v>
      </c>
      <c r="K89" s="13" t="s">
        <v>909</v>
      </c>
      <c r="L89" s="13" t="s">
        <v>1851</v>
      </c>
      <c r="M89" s="13" t="s">
        <v>1085</v>
      </c>
      <c r="N89" s="13" t="s">
        <v>1083</v>
      </c>
      <c r="O89" s="13">
        <v>11250175</v>
      </c>
      <c r="P89" s="13" t="s">
        <v>392</v>
      </c>
      <c r="Q89" s="13">
        <v>129.02728709114399</v>
      </c>
      <c r="R89" s="13">
        <v>37.464340924325498</v>
      </c>
    </row>
    <row r="90" spans="1:18" x14ac:dyDescent="0.3">
      <c r="A90" t="s">
        <v>69</v>
      </c>
      <c r="B90" t="s">
        <v>788</v>
      </c>
      <c r="C90" t="s">
        <v>1086</v>
      </c>
      <c r="D90" t="s">
        <v>1087</v>
      </c>
      <c r="E90">
        <v>3.3</v>
      </c>
      <c r="F90">
        <v>15</v>
      </c>
      <c r="G90">
        <v>82</v>
      </c>
      <c r="H90" s="13" t="s">
        <v>393</v>
      </c>
      <c r="I90" s="13" t="s">
        <v>989</v>
      </c>
      <c r="J90" s="13" t="s">
        <v>792</v>
      </c>
      <c r="K90" s="13" t="s">
        <v>793</v>
      </c>
      <c r="L90" s="13" t="s">
        <v>1666</v>
      </c>
      <c r="M90" s="13" t="s">
        <v>1088</v>
      </c>
      <c r="N90" s="13" t="s">
        <v>1086</v>
      </c>
      <c r="O90" s="13">
        <v>8574564</v>
      </c>
      <c r="P90" s="13" t="s">
        <v>394</v>
      </c>
      <c r="Q90" s="13">
        <v>128.34887415429</v>
      </c>
      <c r="R90" s="13">
        <v>37.615793828386003</v>
      </c>
    </row>
    <row r="91" spans="1:18" x14ac:dyDescent="0.3">
      <c r="A91" t="s">
        <v>70</v>
      </c>
      <c r="B91" t="s">
        <v>1015</v>
      </c>
      <c r="C91" t="s">
        <v>1089</v>
      </c>
      <c r="D91" t="s">
        <v>1017</v>
      </c>
      <c r="E91">
        <v>4.2</v>
      </c>
      <c r="F91">
        <v>73</v>
      </c>
      <c r="G91">
        <v>7</v>
      </c>
      <c r="H91" s="13" t="s">
        <v>395</v>
      </c>
      <c r="I91" s="13" t="s">
        <v>925</v>
      </c>
      <c r="J91" s="13" t="s">
        <v>799</v>
      </c>
      <c r="K91" s="13" t="s">
        <v>800</v>
      </c>
      <c r="L91" s="13" t="s">
        <v>1850</v>
      </c>
      <c r="M91" s="13" t="s">
        <v>1090</v>
      </c>
      <c r="N91" s="13"/>
      <c r="O91" s="13">
        <v>7880709</v>
      </c>
      <c r="P91" s="13" t="s">
        <v>396</v>
      </c>
      <c r="Q91" s="13">
        <v>129.11861164433901</v>
      </c>
      <c r="R91" s="13">
        <v>37.554500914015698</v>
      </c>
    </row>
    <row r="92" spans="1:18" x14ac:dyDescent="0.3">
      <c r="A92" t="s">
        <v>71</v>
      </c>
      <c r="B92" t="s">
        <v>1091</v>
      </c>
      <c r="E92">
        <v>4.2</v>
      </c>
      <c r="F92">
        <v>10</v>
      </c>
      <c r="G92">
        <v>12</v>
      </c>
      <c r="H92" s="13" t="s">
        <v>71</v>
      </c>
      <c r="I92" s="13" t="s">
        <v>925</v>
      </c>
      <c r="J92" s="13" t="s">
        <v>799</v>
      </c>
      <c r="K92" s="13" t="s">
        <v>800</v>
      </c>
      <c r="L92" s="13" t="s">
        <v>1849</v>
      </c>
      <c r="M92" s="13"/>
      <c r="N92" s="13"/>
      <c r="O92" s="13">
        <v>1294246909</v>
      </c>
      <c r="P92" s="13" t="s">
        <v>397</v>
      </c>
      <c r="Q92" s="13">
        <v>128.79843576718</v>
      </c>
      <c r="R92" s="13">
        <v>37.365755753609101</v>
      </c>
    </row>
    <row r="93" spans="1:18" x14ac:dyDescent="0.3">
      <c r="A93" t="s">
        <v>72</v>
      </c>
      <c r="B93" t="s">
        <v>832</v>
      </c>
      <c r="C93" t="s">
        <v>1092</v>
      </c>
      <c r="D93" t="s">
        <v>1093</v>
      </c>
      <c r="E93">
        <v>3.9</v>
      </c>
      <c r="F93">
        <v>271</v>
      </c>
      <c r="G93">
        <v>1220</v>
      </c>
      <c r="H93" s="13" t="s">
        <v>72</v>
      </c>
      <c r="I93" s="13" t="s">
        <v>989</v>
      </c>
      <c r="J93" s="13" t="s">
        <v>792</v>
      </c>
      <c r="K93" s="13" t="s">
        <v>793</v>
      </c>
      <c r="L93" s="13" t="s">
        <v>1848</v>
      </c>
      <c r="M93" s="13" t="s">
        <v>1094</v>
      </c>
      <c r="N93" s="13" t="s">
        <v>1095</v>
      </c>
      <c r="O93" s="13">
        <v>21674777</v>
      </c>
      <c r="P93" s="13" t="s">
        <v>398</v>
      </c>
      <c r="Q93" s="13">
        <v>127.82371307885499</v>
      </c>
      <c r="R93" s="13">
        <v>37.415353343002302</v>
      </c>
    </row>
    <row r="94" spans="1:18" x14ac:dyDescent="0.3">
      <c r="A94" t="s">
        <v>73</v>
      </c>
      <c r="B94" t="s">
        <v>832</v>
      </c>
      <c r="C94" t="s">
        <v>1096</v>
      </c>
      <c r="D94" t="s">
        <v>1097</v>
      </c>
      <c r="E94">
        <v>3.9</v>
      </c>
      <c r="F94">
        <v>54</v>
      </c>
      <c r="G94">
        <v>59</v>
      </c>
      <c r="H94" s="13" t="s">
        <v>73</v>
      </c>
      <c r="I94" s="13" t="s">
        <v>864</v>
      </c>
      <c r="J94" s="13"/>
      <c r="K94" s="13"/>
      <c r="L94" s="13" t="s">
        <v>1847</v>
      </c>
      <c r="M94" s="13" t="s">
        <v>1098</v>
      </c>
      <c r="N94" s="13" t="s">
        <v>1096</v>
      </c>
      <c r="O94" s="13">
        <v>27584256</v>
      </c>
      <c r="P94" s="13" t="s">
        <v>399</v>
      </c>
      <c r="Q94" s="13">
        <v>127.949466940969</v>
      </c>
      <c r="R94" s="13">
        <v>37.349747882586499</v>
      </c>
    </row>
    <row r="95" spans="1:18" x14ac:dyDescent="0.3">
      <c r="A95" t="s">
        <v>400</v>
      </c>
      <c r="B95" t="s">
        <v>822</v>
      </c>
      <c r="C95" t="s">
        <v>1099</v>
      </c>
      <c r="D95" t="s">
        <v>824</v>
      </c>
      <c r="E95">
        <v>4</v>
      </c>
      <c r="F95">
        <v>2</v>
      </c>
      <c r="G95">
        <v>7</v>
      </c>
      <c r="H95" s="13" t="s">
        <v>400</v>
      </c>
      <c r="I95" s="13" t="s">
        <v>928</v>
      </c>
      <c r="J95" s="13" t="s">
        <v>799</v>
      </c>
      <c r="K95" s="13" t="s">
        <v>800</v>
      </c>
      <c r="L95" s="13" t="s">
        <v>1846</v>
      </c>
      <c r="M95" s="13"/>
      <c r="N95" s="13" t="s">
        <v>1100</v>
      </c>
      <c r="O95" s="13">
        <v>10404709</v>
      </c>
      <c r="P95" s="13" t="s">
        <v>401</v>
      </c>
      <c r="Q95" s="13">
        <v>128.312608856742</v>
      </c>
      <c r="R95" s="13">
        <v>37.720003250949098</v>
      </c>
    </row>
    <row r="96" spans="1:18" x14ac:dyDescent="0.3">
      <c r="A96" t="s">
        <v>402</v>
      </c>
      <c r="B96" t="s">
        <v>885</v>
      </c>
      <c r="C96" t="s">
        <v>1101</v>
      </c>
      <c r="D96" t="s">
        <v>1102</v>
      </c>
      <c r="E96">
        <v>4.2</v>
      </c>
      <c r="F96">
        <v>97</v>
      </c>
      <c r="G96">
        <v>38</v>
      </c>
      <c r="H96" s="13" t="s">
        <v>402</v>
      </c>
      <c r="I96" s="13" t="s">
        <v>825</v>
      </c>
      <c r="J96" s="13"/>
      <c r="K96" s="13"/>
      <c r="L96" s="13" t="s">
        <v>1845</v>
      </c>
      <c r="M96" s="13"/>
      <c r="N96" s="13" t="s">
        <v>1103</v>
      </c>
      <c r="O96" s="13">
        <v>7881838</v>
      </c>
      <c r="P96" s="13" t="s">
        <v>403</v>
      </c>
      <c r="Q96" s="13">
        <v>129.04895513102599</v>
      </c>
      <c r="R96" s="13">
        <v>37.1801089836773</v>
      </c>
    </row>
    <row r="97" spans="1:18" x14ac:dyDescent="0.3">
      <c r="A97" t="s">
        <v>404</v>
      </c>
      <c r="B97" t="s">
        <v>838</v>
      </c>
      <c r="C97" t="s">
        <v>950</v>
      </c>
      <c r="D97" t="s">
        <v>951</v>
      </c>
      <c r="E97">
        <v>4.7</v>
      </c>
      <c r="F97">
        <v>32</v>
      </c>
      <c r="G97">
        <v>2</v>
      </c>
      <c r="H97" s="13" t="s">
        <v>34</v>
      </c>
      <c r="I97" s="13" t="s">
        <v>944</v>
      </c>
      <c r="J97" s="13" t="s">
        <v>799</v>
      </c>
      <c r="K97" s="13" t="s">
        <v>800</v>
      </c>
      <c r="L97" s="13" t="s">
        <v>1844</v>
      </c>
      <c r="M97" s="13"/>
      <c r="N97" s="13" t="s">
        <v>950</v>
      </c>
      <c r="O97" s="13">
        <v>7879147</v>
      </c>
      <c r="P97" s="13" t="s">
        <v>322</v>
      </c>
      <c r="Q97" s="13">
        <v>128.52805691882301</v>
      </c>
      <c r="R97" s="13">
        <v>37.939011790163001</v>
      </c>
    </row>
    <row r="98" spans="1:18" x14ac:dyDescent="0.3">
      <c r="A98" t="s">
        <v>74</v>
      </c>
      <c r="B98" t="s">
        <v>941</v>
      </c>
      <c r="C98" t="s">
        <v>1104</v>
      </c>
      <c r="D98" t="s">
        <v>1105</v>
      </c>
      <c r="E98">
        <v>4.5999999999999996</v>
      </c>
      <c r="F98">
        <v>127</v>
      </c>
      <c r="G98">
        <v>619</v>
      </c>
      <c r="H98" s="13" t="s">
        <v>74</v>
      </c>
      <c r="I98" s="13" t="s">
        <v>1059</v>
      </c>
      <c r="J98" s="13" t="s">
        <v>799</v>
      </c>
      <c r="K98" s="13" t="s">
        <v>800</v>
      </c>
      <c r="L98" s="13" t="s">
        <v>1843</v>
      </c>
      <c r="M98" s="13"/>
      <c r="N98" s="13"/>
      <c r="O98" s="13">
        <v>7887114</v>
      </c>
      <c r="P98" s="13" t="s">
        <v>405</v>
      </c>
      <c r="Q98" s="13">
        <v>128.77485717011999</v>
      </c>
      <c r="R98" s="13">
        <v>37.271066055812199</v>
      </c>
    </row>
    <row r="99" spans="1:18" x14ac:dyDescent="0.3">
      <c r="A99" t="s">
        <v>75</v>
      </c>
      <c r="B99" t="s">
        <v>832</v>
      </c>
      <c r="C99" t="s">
        <v>1106</v>
      </c>
      <c r="D99" t="s">
        <v>1107</v>
      </c>
      <c r="E99">
        <v>4.2</v>
      </c>
      <c r="F99">
        <v>12</v>
      </c>
      <c r="G99">
        <v>132</v>
      </c>
      <c r="H99" s="13" t="s">
        <v>406</v>
      </c>
      <c r="I99" s="13" t="s">
        <v>882</v>
      </c>
      <c r="J99" s="13"/>
      <c r="K99" s="13"/>
      <c r="L99" s="13" t="s">
        <v>1842</v>
      </c>
      <c r="M99" s="13" t="s">
        <v>1108</v>
      </c>
      <c r="N99" s="13" t="s">
        <v>1106</v>
      </c>
      <c r="O99" s="13">
        <v>10399968</v>
      </c>
      <c r="P99" s="13" t="s">
        <v>407</v>
      </c>
      <c r="Q99" s="13">
        <v>127.95943272993701</v>
      </c>
      <c r="R99" s="13">
        <v>37.322269938960801</v>
      </c>
    </row>
    <row r="100" spans="1:18" x14ac:dyDescent="0.3">
      <c r="A100" t="s">
        <v>76</v>
      </c>
      <c r="B100" t="s">
        <v>817</v>
      </c>
      <c r="C100" t="s">
        <v>1109</v>
      </c>
      <c r="D100" t="s">
        <v>1110</v>
      </c>
      <c r="E100">
        <v>4.3</v>
      </c>
      <c r="F100">
        <v>34</v>
      </c>
      <c r="G100">
        <v>51</v>
      </c>
      <c r="H100" s="13" t="s">
        <v>408</v>
      </c>
      <c r="I100" s="13" t="s">
        <v>1111</v>
      </c>
      <c r="J100" s="13" t="s">
        <v>792</v>
      </c>
      <c r="K100" s="13" t="s">
        <v>793</v>
      </c>
      <c r="L100" s="13" t="s">
        <v>1841</v>
      </c>
      <c r="M100" s="13" t="s">
        <v>1112</v>
      </c>
      <c r="N100" s="13" t="s">
        <v>1113</v>
      </c>
      <c r="O100" s="13">
        <v>12463854</v>
      </c>
      <c r="P100" s="13" t="s">
        <v>409</v>
      </c>
      <c r="Q100" s="13">
        <v>127.981593044984</v>
      </c>
      <c r="R100" s="13">
        <v>38.096457280404699</v>
      </c>
    </row>
    <row r="101" spans="1:18" x14ac:dyDescent="0.3">
      <c r="A101" t="s">
        <v>77</v>
      </c>
      <c r="B101" t="s">
        <v>929</v>
      </c>
      <c r="C101" t="s">
        <v>1114</v>
      </c>
      <c r="E101">
        <v>3.8</v>
      </c>
      <c r="F101">
        <v>11</v>
      </c>
      <c r="G101">
        <v>93</v>
      </c>
      <c r="H101" s="13" t="s">
        <v>77</v>
      </c>
      <c r="I101" s="13" t="s">
        <v>810</v>
      </c>
      <c r="J101" s="13" t="s">
        <v>792</v>
      </c>
      <c r="K101" s="13" t="s">
        <v>793</v>
      </c>
      <c r="L101" s="13" t="s">
        <v>1721</v>
      </c>
      <c r="M101" s="13" t="s">
        <v>1115</v>
      </c>
      <c r="N101" s="13" t="s">
        <v>1114</v>
      </c>
      <c r="O101" s="13">
        <v>18605694</v>
      </c>
      <c r="P101" s="13" t="s">
        <v>410</v>
      </c>
      <c r="Q101" s="13">
        <v>128.171291869371</v>
      </c>
      <c r="R101" s="13">
        <v>38.062363657397903</v>
      </c>
    </row>
    <row r="102" spans="1:18" x14ac:dyDescent="0.3">
      <c r="A102" t="s">
        <v>78</v>
      </c>
      <c r="B102" t="s">
        <v>832</v>
      </c>
      <c r="C102" t="s">
        <v>1116</v>
      </c>
      <c r="D102" t="s">
        <v>1117</v>
      </c>
      <c r="E102">
        <v>4.5999999999999996</v>
      </c>
      <c r="F102">
        <v>245</v>
      </c>
      <c r="G102">
        <v>613</v>
      </c>
      <c r="H102" s="13" t="s">
        <v>78</v>
      </c>
      <c r="I102" s="13" t="s">
        <v>845</v>
      </c>
      <c r="J102" s="13"/>
      <c r="K102" s="13"/>
      <c r="L102" s="13" t="s">
        <v>1840</v>
      </c>
      <c r="M102" s="13"/>
      <c r="N102" s="13"/>
      <c r="O102" s="13">
        <v>8312554</v>
      </c>
      <c r="P102" s="13" t="s">
        <v>411</v>
      </c>
      <c r="Q102" s="13">
        <v>127.78843104877301</v>
      </c>
      <c r="R102" s="13">
        <v>37.294250088471301</v>
      </c>
    </row>
    <row r="103" spans="1:18" x14ac:dyDescent="0.3">
      <c r="A103" t="s">
        <v>79</v>
      </c>
      <c r="B103" t="s">
        <v>832</v>
      </c>
      <c r="C103" t="s">
        <v>837</v>
      </c>
      <c r="D103" t="s">
        <v>1117</v>
      </c>
      <c r="E103">
        <v>4.5</v>
      </c>
      <c r="F103">
        <v>17</v>
      </c>
      <c r="G103">
        <v>21</v>
      </c>
      <c r="H103" s="13" t="s">
        <v>412</v>
      </c>
      <c r="I103" s="13" t="s">
        <v>835</v>
      </c>
      <c r="J103" s="13"/>
      <c r="K103" s="13"/>
      <c r="L103" s="13" t="s">
        <v>1839</v>
      </c>
      <c r="M103" s="13" t="s">
        <v>1118</v>
      </c>
      <c r="N103" s="13"/>
      <c r="O103" s="13">
        <v>7887560</v>
      </c>
      <c r="P103" s="13" t="s">
        <v>413</v>
      </c>
      <c r="Q103" s="13">
        <v>127.99439283237901</v>
      </c>
      <c r="R103" s="13">
        <v>37.322950757650403</v>
      </c>
    </row>
    <row r="104" spans="1:18" x14ac:dyDescent="0.3">
      <c r="A104" t="s">
        <v>80</v>
      </c>
      <c r="B104" t="s">
        <v>929</v>
      </c>
      <c r="C104" t="s">
        <v>1119</v>
      </c>
      <c r="D104" t="s">
        <v>1120</v>
      </c>
      <c r="E104">
        <v>3.8</v>
      </c>
      <c r="F104">
        <v>19</v>
      </c>
      <c r="G104">
        <v>25</v>
      </c>
      <c r="H104" s="13" t="s">
        <v>414</v>
      </c>
      <c r="I104" s="13" t="s">
        <v>944</v>
      </c>
      <c r="J104" s="13" t="s">
        <v>799</v>
      </c>
      <c r="K104" s="13" t="s">
        <v>800</v>
      </c>
      <c r="L104" s="13" t="s">
        <v>1838</v>
      </c>
      <c r="M104" s="13"/>
      <c r="N104" s="13" t="s">
        <v>1119</v>
      </c>
      <c r="O104" s="13">
        <v>8316285</v>
      </c>
      <c r="P104" s="13" t="s">
        <v>415</v>
      </c>
      <c r="Q104" s="13">
        <v>128.40082458087599</v>
      </c>
      <c r="R104" s="13">
        <v>37.921464652345001</v>
      </c>
    </row>
    <row r="105" spans="1:18" x14ac:dyDescent="0.3">
      <c r="A105" t="s">
        <v>416</v>
      </c>
      <c r="B105" t="s">
        <v>822</v>
      </c>
      <c r="C105" t="s">
        <v>1121</v>
      </c>
      <c r="D105" t="s">
        <v>824</v>
      </c>
      <c r="E105">
        <v>3.4</v>
      </c>
      <c r="F105">
        <v>5</v>
      </c>
      <c r="G105">
        <v>34</v>
      </c>
      <c r="H105" s="13" t="s">
        <v>416</v>
      </c>
      <c r="I105" s="13" t="s">
        <v>986</v>
      </c>
      <c r="J105" s="13"/>
      <c r="K105" s="13"/>
      <c r="L105" s="13" t="s">
        <v>1837</v>
      </c>
      <c r="M105" s="13" t="s">
        <v>1122</v>
      </c>
      <c r="N105" s="13" t="s">
        <v>1123</v>
      </c>
      <c r="O105" s="13">
        <v>20752352</v>
      </c>
      <c r="P105" s="13" t="s">
        <v>417</v>
      </c>
      <c r="Q105" s="13">
        <v>127.58530463784599</v>
      </c>
      <c r="R105" s="13">
        <v>37.725366212864401</v>
      </c>
    </row>
    <row r="106" spans="1:18" x14ac:dyDescent="0.3">
      <c r="A106" t="s">
        <v>81</v>
      </c>
      <c r="B106" t="s">
        <v>929</v>
      </c>
      <c r="C106" t="s">
        <v>1124</v>
      </c>
      <c r="E106">
        <v>3.4</v>
      </c>
      <c r="F106">
        <v>80</v>
      </c>
      <c r="G106">
        <v>215</v>
      </c>
      <c r="H106" s="13" t="s">
        <v>81</v>
      </c>
      <c r="I106" s="13" t="s">
        <v>899</v>
      </c>
      <c r="J106" s="13"/>
      <c r="K106" s="13"/>
      <c r="L106" s="13" t="s">
        <v>1836</v>
      </c>
      <c r="M106" s="13" t="s">
        <v>1125</v>
      </c>
      <c r="N106" s="13" t="s">
        <v>1124</v>
      </c>
      <c r="O106" s="13">
        <v>11065471</v>
      </c>
      <c r="P106" s="13" t="s">
        <v>418</v>
      </c>
      <c r="Q106" s="13">
        <v>128.37379323474599</v>
      </c>
      <c r="R106" s="13">
        <v>38.164963292588197</v>
      </c>
    </row>
    <row r="107" spans="1:18" x14ac:dyDescent="0.3">
      <c r="A107" t="s">
        <v>82</v>
      </c>
      <c r="B107" t="s">
        <v>807</v>
      </c>
      <c r="C107" t="s">
        <v>1126</v>
      </c>
      <c r="D107" t="s">
        <v>898</v>
      </c>
      <c r="E107">
        <v>4.5</v>
      </c>
      <c r="F107">
        <v>37</v>
      </c>
      <c r="G107">
        <v>215</v>
      </c>
      <c r="H107" s="13" t="s">
        <v>82</v>
      </c>
      <c r="I107" s="13" t="s">
        <v>925</v>
      </c>
      <c r="J107" s="13" t="s">
        <v>799</v>
      </c>
      <c r="K107" s="13" t="s">
        <v>800</v>
      </c>
      <c r="L107" s="13" t="s">
        <v>1835</v>
      </c>
      <c r="M107" s="13"/>
      <c r="N107" s="13"/>
      <c r="O107" s="13">
        <v>1905804128</v>
      </c>
      <c r="P107" s="13" t="s">
        <v>419</v>
      </c>
      <c r="Q107" s="13">
        <v>128.46831891732299</v>
      </c>
      <c r="R107" s="13">
        <v>38.450243630376299</v>
      </c>
    </row>
    <row r="108" spans="1:18" x14ac:dyDescent="0.3">
      <c r="A108" t="s">
        <v>83</v>
      </c>
      <c r="B108" t="s">
        <v>894</v>
      </c>
      <c r="C108" t="s">
        <v>1127</v>
      </c>
      <c r="D108" t="s">
        <v>1128</v>
      </c>
      <c r="E108">
        <v>2</v>
      </c>
      <c r="F108">
        <v>7</v>
      </c>
      <c r="G108">
        <v>1</v>
      </c>
      <c r="H108" s="13" t="s">
        <v>83</v>
      </c>
      <c r="I108" s="13" t="s">
        <v>1129</v>
      </c>
      <c r="J108" s="13"/>
      <c r="K108" s="13"/>
      <c r="L108" s="13" t="s">
        <v>1834</v>
      </c>
      <c r="M108" s="13" t="s">
        <v>1130</v>
      </c>
      <c r="N108" s="13" t="s">
        <v>1131</v>
      </c>
      <c r="O108" s="13">
        <v>1427819338</v>
      </c>
      <c r="P108" s="13" t="s">
        <v>421</v>
      </c>
      <c r="Q108" s="13">
        <v>127.704289518856</v>
      </c>
      <c r="R108" s="13">
        <v>38.104468229400801</v>
      </c>
    </row>
    <row r="109" spans="1:18" x14ac:dyDescent="0.3">
      <c r="A109" t="s">
        <v>422</v>
      </c>
      <c r="B109" t="s">
        <v>980</v>
      </c>
      <c r="C109" t="s">
        <v>1132</v>
      </c>
      <c r="D109" t="s">
        <v>1133</v>
      </c>
      <c r="E109">
        <v>4.3</v>
      </c>
      <c r="F109">
        <v>13</v>
      </c>
      <c r="G109">
        <v>5</v>
      </c>
      <c r="H109" s="13" t="s">
        <v>422</v>
      </c>
      <c r="I109" s="13" t="s">
        <v>899</v>
      </c>
      <c r="J109" s="13"/>
      <c r="K109" s="13"/>
      <c r="L109" s="13" t="s">
        <v>1833</v>
      </c>
      <c r="M109" s="13" t="s">
        <v>1134</v>
      </c>
      <c r="N109" s="13"/>
      <c r="O109" s="13">
        <v>26334065</v>
      </c>
      <c r="P109" s="13" t="s">
        <v>423</v>
      </c>
      <c r="Q109" s="13">
        <v>128.847144511208</v>
      </c>
      <c r="R109" s="13">
        <v>35.481052175295197</v>
      </c>
    </row>
    <row r="110" spans="1:18" x14ac:dyDescent="0.3">
      <c r="A110" t="s">
        <v>84</v>
      </c>
      <c r="B110" t="s">
        <v>980</v>
      </c>
      <c r="C110" t="s">
        <v>1135</v>
      </c>
      <c r="D110" t="s">
        <v>1136</v>
      </c>
      <c r="E110">
        <v>4.5</v>
      </c>
      <c r="F110">
        <v>95</v>
      </c>
      <c r="G110">
        <v>185</v>
      </c>
      <c r="H110" s="13" t="s">
        <v>84</v>
      </c>
      <c r="I110" s="13" t="s">
        <v>976</v>
      </c>
      <c r="J110" s="13" t="s">
        <v>799</v>
      </c>
      <c r="K110" s="13" t="s">
        <v>800</v>
      </c>
      <c r="L110" s="13" t="s">
        <v>1832</v>
      </c>
      <c r="M110" s="13"/>
      <c r="N110" s="13" t="s">
        <v>1135</v>
      </c>
      <c r="O110" s="13">
        <v>15280358</v>
      </c>
      <c r="P110" s="13" t="s">
        <v>424</v>
      </c>
      <c r="Q110" s="13">
        <v>128.48678249137399</v>
      </c>
      <c r="R110" s="13">
        <v>37.1983292396148</v>
      </c>
    </row>
    <row r="111" spans="1:18" x14ac:dyDescent="0.3">
      <c r="A111" t="s">
        <v>85</v>
      </c>
      <c r="B111" t="s">
        <v>941</v>
      </c>
      <c r="C111" t="s">
        <v>1137</v>
      </c>
      <c r="D111" t="s">
        <v>1138</v>
      </c>
      <c r="E111">
        <v>3.2</v>
      </c>
      <c r="F111">
        <v>75</v>
      </c>
      <c r="G111">
        <v>117</v>
      </c>
      <c r="H111" s="13" t="s">
        <v>85</v>
      </c>
      <c r="I111" s="13" t="s">
        <v>925</v>
      </c>
      <c r="J111" s="13" t="s">
        <v>799</v>
      </c>
      <c r="K111" s="13" t="s">
        <v>800</v>
      </c>
      <c r="L111" s="13" t="s">
        <v>1831</v>
      </c>
      <c r="M111" s="13"/>
      <c r="N111" s="13" t="s">
        <v>1137</v>
      </c>
      <c r="O111" s="13">
        <v>17305177</v>
      </c>
      <c r="P111" s="13" t="s">
        <v>425</v>
      </c>
      <c r="Q111" s="13">
        <v>128.63549972918301</v>
      </c>
      <c r="R111" s="13">
        <v>37.362080048812501</v>
      </c>
    </row>
    <row r="112" spans="1:18" x14ac:dyDescent="0.3">
      <c r="A112" t="s">
        <v>86</v>
      </c>
      <c r="B112" t="s">
        <v>967</v>
      </c>
      <c r="C112" t="s">
        <v>1139</v>
      </c>
      <c r="D112" t="s">
        <v>1140</v>
      </c>
      <c r="E112">
        <v>3.6</v>
      </c>
      <c r="F112">
        <v>11</v>
      </c>
      <c r="G112">
        <v>20</v>
      </c>
      <c r="H112" s="13" t="s">
        <v>86</v>
      </c>
      <c r="I112" s="13" t="s">
        <v>907</v>
      </c>
      <c r="J112" s="13" t="s">
        <v>908</v>
      </c>
      <c r="K112" s="13" t="s">
        <v>909</v>
      </c>
      <c r="L112" s="13" t="s">
        <v>1830</v>
      </c>
      <c r="M112" s="13" t="s">
        <v>1141</v>
      </c>
      <c r="N112" s="13" t="s">
        <v>1139</v>
      </c>
      <c r="O112" s="13">
        <v>21054698</v>
      </c>
      <c r="P112" s="13" t="s">
        <v>426</v>
      </c>
      <c r="Q112" s="13">
        <v>128.057518482825</v>
      </c>
      <c r="R112" s="13">
        <v>37.593809534921299</v>
      </c>
    </row>
    <row r="113" spans="1:18" x14ac:dyDescent="0.3">
      <c r="A113" t="s">
        <v>87</v>
      </c>
      <c r="B113" t="s">
        <v>807</v>
      </c>
      <c r="C113" t="s">
        <v>1142</v>
      </c>
      <c r="D113" t="s">
        <v>898</v>
      </c>
      <c r="E113">
        <v>4.8</v>
      </c>
      <c r="F113">
        <v>14</v>
      </c>
      <c r="G113">
        <v>3</v>
      </c>
      <c r="H113" s="13" t="s">
        <v>87</v>
      </c>
      <c r="I113" s="13" t="s">
        <v>854</v>
      </c>
      <c r="J113" s="13" t="s">
        <v>799</v>
      </c>
      <c r="K113" s="13" t="s">
        <v>800</v>
      </c>
      <c r="L113" s="13" t="s">
        <v>1829</v>
      </c>
      <c r="M113" s="13"/>
      <c r="N113" s="13"/>
      <c r="O113" s="13">
        <v>11057558</v>
      </c>
      <c r="P113" s="13" t="s">
        <v>427</v>
      </c>
      <c r="Q113" s="13">
        <v>128.52743194639299</v>
      </c>
      <c r="R113" s="13">
        <v>38.323891579344298</v>
      </c>
    </row>
    <row r="114" spans="1:18" x14ac:dyDescent="0.3">
      <c r="A114" t="s">
        <v>88</v>
      </c>
      <c r="B114" t="s">
        <v>788</v>
      </c>
      <c r="C114" t="s">
        <v>1143</v>
      </c>
      <c r="D114" t="s">
        <v>1087</v>
      </c>
      <c r="E114">
        <v>4.4000000000000004</v>
      </c>
      <c r="F114">
        <v>21</v>
      </c>
      <c r="G114">
        <v>2</v>
      </c>
      <c r="H114" s="13" t="s">
        <v>88</v>
      </c>
      <c r="I114" s="13" t="s">
        <v>864</v>
      </c>
      <c r="J114" s="13"/>
      <c r="K114" s="13"/>
      <c r="L114" s="13" t="s">
        <v>1828</v>
      </c>
      <c r="M114" s="13"/>
      <c r="N114" s="13"/>
      <c r="O114" s="13">
        <v>18525008</v>
      </c>
      <c r="P114" s="13" t="s">
        <v>428</v>
      </c>
      <c r="Q114" s="13">
        <v>128.37765156238399</v>
      </c>
      <c r="R114" s="13">
        <v>37.615367623403699</v>
      </c>
    </row>
    <row r="115" spans="1:18" x14ac:dyDescent="0.3">
      <c r="A115" t="s">
        <v>429</v>
      </c>
      <c r="B115" t="s">
        <v>876</v>
      </c>
      <c r="D115" t="s">
        <v>1144</v>
      </c>
      <c r="E115">
        <v>4.5999999999999996</v>
      </c>
      <c r="F115">
        <v>5</v>
      </c>
      <c r="G115">
        <v>26</v>
      </c>
      <c r="H115" s="13" t="s">
        <v>429</v>
      </c>
      <c r="I115" s="13" t="s">
        <v>810</v>
      </c>
      <c r="J115" s="13" t="s">
        <v>792</v>
      </c>
      <c r="K115" s="13" t="s">
        <v>793</v>
      </c>
      <c r="L115" s="13" t="s">
        <v>1827</v>
      </c>
      <c r="M115" s="13" t="s">
        <v>1145</v>
      </c>
      <c r="N115" s="13" t="s">
        <v>1146</v>
      </c>
      <c r="O115" s="13">
        <v>1488661422</v>
      </c>
      <c r="P115" s="13" t="s">
        <v>430</v>
      </c>
      <c r="Q115" s="13">
        <v>127.692558308324</v>
      </c>
      <c r="R115" s="13">
        <v>37.896573833806201</v>
      </c>
    </row>
    <row r="116" spans="1:18" x14ac:dyDescent="0.3">
      <c r="A116" t="s">
        <v>431</v>
      </c>
      <c r="B116" t="s">
        <v>894</v>
      </c>
      <c r="C116" t="s">
        <v>1058</v>
      </c>
      <c r="E116">
        <v>2.2000000000000002</v>
      </c>
      <c r="F116">
        <v>18</v>
      </c>
      <c r="G116">
        <v>2</v>
      </c>
      <c r="H116" s="13" t="s">
        <v>431</v>
      </c>
      <c r="I116" s="13" t="s">
        <v>1147</v>
      </c>
      <c r="J116" s="13" t="s">
        <v>799</v>
      </c>
      <c r="K116" s="13" t="s">
        <v>800</v>
      </c>
      <c r="L116" s="13" t="s">
        <v>1826</v>
      </c>
      <c r="M116" s="13"/>
      <c r="N116" s="13"/>
      <c r="O116" s="13">
        <v>8397226</v>
      </c>
      <c r="P116" s="13" t="s">
        <v>432</v>
      </c>
      <c r="Q116" s="13">
        <v>127.679962873075</v>
      </c>
      <c r="R116" s="13">
        <v>37.859655883623397</v>
      </c>
    </row>
    <row r="117" spans="1:18" x14ac:dyDescent="0.3">
      <c r="A117" t="s">
        <v>433</v>
      </c>
      <c r="B117" t="s">
        <v>894</v>
      </c>
      <c r="C117" t="s">
        <v>895</v>
      </c>
      <c r="E117">
        <v>0</v>
      </c>
      <c r="F117">
        <v>0</v>
      </c>
      <c r="G117">
        <v>3</v>
      </c>
      <c r="H117" s="13" t="s">
        <v>433</v>
      </c>
      <c r="I117" s="13" t="s">
        <v>1148</v>
      </c>
      <c r="J117" s="13"/>
      <c r="K117" s="13"/>
      <c r="L117" s="13" t="s">
        <v>1825</v>
      </c>
      <c r="M117" s="13" t="s">
        <v>1149</v>
      </c>
      <c r="N117" s="13" t="s">
        <v>1150</v>
      </c>
      <c r="O117" s="13">
        <v>885587366</v>
      </c>
      <c r="P117" s="13" t="s">
        <v>434</v>
      </c>
      <c r="Q117" s="13">
        <v>127.05040607739301</v>
      </c>
      <c r="R117" s="13">
        <v>36.963041602728602</v>
      </c>
    </row>
    <row r="118" spans="1:18" x14ac:dyDescent="0.3">
      <c r="A118" t="s">
        <v>435</v>
      </c>
      <c r="B118" t="s">
        <v>894</v>
      </c>
      <c r="C118" t="s">
        <v>1151</v>
      </c>
      <c r="E118">
        <v>4.4000000000000004</v>
      </c>
      <c r="F118">
        <v>5</v>
      </c>
      <c r="G118">
        <v>35</v>
      </c>
      <c r="H118" s="13" t="s">
        <v>435</v>
      </c>
      <c r="I118" s="13" t="s">
        <v>810</v>
      </c>
      <c r="J118" s="13" t="s">
        <v>792</v>
      </c>
      <c r="K118" s="13" t="s">
        <v>793</v>
      </c>
      <c r="L118" s="13" t="s">
        <v>1824</v>
      </c>
      <c r="M118" s="13" t="s">
        <v>1152</v>
      </c>
      <c r="N118" s="13"/>
      <c r="O118" s="13">
        <v>27383477</v>
      </c>
      <c r="P118" s="13" t="s">
        <v>436</v>
      </c>
      <c r="Q118" s="13">
        <v>127.703765858068</v>
      </c>
      <c r="R118" s="13">
        <v>38.105977666826803</v>
      </c>
    </row>
    <row r="119" spans="1:18" x14ac:dyDescent="0.3">
      <c r="A119" t="s">
        <v>89</v>
      </c>
      <c r="B119" t="s">
        <v>894</v>
      </c>
      <c r="C119" t="s">
        <v>1153</v>
      </c>
      <c r="D119" t="s">
        <v>1154</v>
      </c>
      <c r="E119">
        <v>4.7</v>
      </c>
      <c r="F119">
        <v>9</v>
      </c>
      <c r="G119">
        <v>132</v>
      </c>
      <c r="H119" s="13" t="s">
        <v>437</v>
      </c>
      <c r="I119" s="13" t="s">
        <v>1155</v>
      </c>
      <c r="J119" s="13"/>
      <c r="K119" s="13"/>
      <c r="L119" s="13" t="s">
        <v>1823</v>
      </c>
      <c r="M119" s="13" t="s">
        <v>1156</v>
      </c>
      <c r="N119" s="13" t="s">
        <v>1153</v>
      </c>
      <c r="O119" s="13">
        <v>1986449214</v>
      </c>
      <c r="P119" s="13" t="s">
        <v>438</v>
      </c>
      <c r="Q119" s="13">
        <v>127.688094850984</v>
      </c>
      <c r="R119" s="13">
        <v>38.075987639811999</v>
      </c>
    </row>
    <row r="120" spans="1:18" x14ac:dyDescent="0.3">
      <c r="A120" t="s">
        <v>439</v>
      </c>
      <c r="B120" t="s">
        <v>894</v>
      </c>
      <c r="C120" t="s">
        <v>1157</v>
      </c>
      <c r="D120" t="s">
        <v>1158</v>
      </c>
      <c r="E120">
        <v>4</v>
      </c>
      <c r="F120">
        <v>4</v>
      </c>
      <c r="G120">
        <v>110</v>
      </c>
      <c r="H120" s="13" t="s">
        <v>440</v>
      </c>
      <c r="I120" s="13" t="s">
        <v>989</v>
      </c>
      <c r="J120" s="13" t="s">
        <v>792</v>
      </c>
      <c r="K120" s="13" t="s">
        <v>793</v>
      </c>
      <c r="L120" s="13" t="s">
        <v>1822</v>
      </c>
      <c r="M120" s="13" t="s">
        <v>1159</v>
      </c>
      <c r="N120" s="13" t="s">
        <v>1157</v>
      </c>
      <c r="O120" s="13">
        <v>1400300682</v>
      </c>
      <c r="P120" s="13" t="s">
        <v>441</v>
      </c>
      <c r="Q120" s="13">
        <v>127.70606176103399</v>
      </c>
      <c r="R120" s="13">
        <v>38.107124247428899</v>
      </c>
    </row>
    <row r="121" spans="1:18" x14ac:dyDescent="0.3">
      <c r="A121" t="s">
        <v>442</v>
      </c>
      <c r="B121" t="s">
        <v>894</v>
      </c>
      <c r="C121" t="s">
        <v>1160</v>
      </c>
      <c r="E121">
        <v>0</v>
      </c>
      <c r="F121">
        <v>30</v>
      </c>
      <c r="G121">
        <v>0</v>
      </c>
      <c r="H121" s="13" t="s">
        <v>442</v>
      </c>
      <c r="I121" s="13" t="s">
        <v>1161</v>
      </c>
      <c r="J121" s="13"/>
      <c r="K121" s="13"/>
      <c r="L121" s="13" t="s">
        <v>1821</v>
      </c>
      <c r="M121" s="13"/>
      <c r="N121" s="13"/>
      <c r="O121" s="13">
        <v>1116662553</v>
      </c>
      <c r="P121" s="13" t="s">
        <v>443</v>
      </c>
      <c r="Q121" s="13">
        <v>127.746170829832</v>
      </c>
      <c r="R121" s="13">
        <v>38.083597208228198</v>
      </c>
    </row>
    <row r="122" spans="1:18" x14ac:dyDescent="0.3">
      <c r="A122" t="s">
        <v>90</v>
      </c>
      <c r="B122" t="s">
        <v>822</v>
      </c>
      <c r="C122" t="s">
        <v>1162</v>
      </c>
      <c r="D122" t="s">
        <v>1163</v>
      </c>
      <c r="E122">
        <v>4.9000000000000004</v>
      </c>
      <c r="F122">
        <v>14</v>
      </c>
      <c r="G122">
        <v>36</v>
      </c>
      <c r="H122" s="13" t="s">
        <v>444</v>
      </c>
      <c r="I122" s="13" t="s">
        <v>944</v>
      </c>
      <c r="J122" s="13" t="s">
        <v>799</v>
      </c>
      <c r="K122" s="13" t="s">
        <v>800</v>
      </c>
      <c r="L122" s="13" t="s">
        <v>1820</v>
      </c>
      <c r="M122" s="13" t="s">
        <v>1164</v>
      </c>
      <c r="N122" s="13" t="s">
        <v>1162</v>
      </c>
      <c r="O122" s="13">
        <v>7926947</v>
      </c>
      <c r="P122" s="13" t="s">
        <v>445</v>
      </c>
      <c r="Q122" s="13">
        <v>128.46383552000501</v>
      </c>
      <c r="R122" s="13">
        <v>37.857593219550502</v>
      </c>
    </row>
    <row r="123" spans="1:18" x14ac:dyDescent="0.3">
      <c r="A123" t="s">
        <v>91</v>
      </c>
      <c r="B123" t="s">
        <v>813</v>
      </c>
      <c r="C123" t="s">
        <v>1165</v>
      </c>
      <c r="E123">
        <v>4.5</v>
      </c>
      <c r="F123">
        <v>62</v>
      </c>
      <c r="G123">
        <v>115</v>
      </c>
      <c r="H123" s="13" t="s">
        <v>91</v>
      </c>
      <c r="I123" s="13" t="s">
        <v>825</v>
      </c>
      <c r="J123" s="13"/>
      <c r="K123" s="13"/>
      <c r="L123" s="13" t="s">
        <v>1819</v>
      </c>
      <c r="M123" s="13"/>
      <c r="N123" s="13" t="s">
        <v>1165</v>
      </c>
      <c r="O123" s="13">
        <v>26952943</v>
      </c>
      <c r="P123" s="13" t="s">
        <v>446</v>
      </c>
      <c r="Q123" s="13">
        <v>127.327128847534</v>
      </c>
      <c r="R123" s="13">
        <v>38.140153578267302</v>
      </c>
    </row>
    <row r="124" spans="1:18" x14ac:dyDescent="0.3">
      <c r="A124" t="s">
        <v>447</v>
      </c>
      <c r="B124" t="s">
        <v>876</v>
      </c>
      <c r="C124" t="s">
        <v>1166</v>
      </c>
      <c r="D124" t="s">
        <v>936</v>
      </c>
      <c r="E124">
        <v>4.5999999999999996</v>
      </c>
      <c r="F124">
        <v>53</v>
      </c>
      <c r="G124">
        <v>15</v>
      </c>
      <c r="H124" s="13" t="s">
        <v>447</v>
      </c>
      <c r="I124" s="13" t="s">
        <v>1059</v>
      </c>
      <c r="J124" s="13" t="s">
        <v>799</v>
      </c>
      <c r="K124" s="13" t="s">
        <v>800</v>
      </c>
      <c r="L124" s="13" t="s">
        <v>1818</v>
      </c>
      <c r="M124" s="13"/>
      <c r="N124" s="13" t="s">
        <v>1166</v>
      </c>
      <c r="O124" s="13">
        <v>8391208</v>
      </c>
      <c r="P124" s="13" t="s">
        <v>448</v>
      </c>
      <c r="Q124" s="13">
        <v>127.66040319698701</v>
      </c>
      <c r="R124" s="13">
        <v>37.839691620293102</v>
      </c>
    </row>
    <row r="125" spans="1:18" x14ac:dyDescent="0.3">
      <c r="A125" t="s">
        <v>92</v>
      </c>
      <c r="B125" t="s">
        <v>1020</v>
      </c>
      <c r="C125" t="s">
        <v>1167</v>
      </c>
      <c r="E125">
        <v>3.8</v>
      </c>
      <c r="F125">
        <v>177</v>
      </c>
      <c r="G125">
        <v>811</v>
      </c>
      <c r="H125" s="13" t="s">
        <v>92</v>
      </c>
      <c r="I125" s="13" t="s">
        <v>1022</v>
      </c>
      <c r="J125" s="13"/>
      <c r="K125" s="13"/>
      <c r="L125" s="13" t="s">
        <v>1817</v>
      </c>
      <c r="M125" s="13" t="s">
        <v>1168</v>
      </c>
      <c r="N125" s="13" t="s">
        <v>1167</v>
      </c>
      <c r="O125" s="13">
        <v>8305401</v>
      </c>
      <c r="P125" s="13" t="s">
        <v>449</v>
      </c>
      <c r="Q125" s="13">
        <v>128.719733895659</v>
      </c>
      <c r="R125" s="13">
        <v>37.724286808537698</v>
      </c>
    </row>
    <row r="126" spans="1:18" x14ac:dyDescent="0.3">
      <c r="A126" t="s">
        <v>450</v>
      </c>
      <c r="B126" t="s">
        <v>885</v>
      </c>
      <c r="C126" t="s">
        <v>1169</v>
      </c>
      <c r="D126" t="s">
        <v>1170</v>
      </c>
      <c r="E126">
        <v>4.8</v>
      </c>
      <c r="F126">
        <v>5</v>
      </c>
      <c r="G126">
        <v>98</v>
      </c>
      <c r="H126" s="13" t="s">
        <v>450</v>
      </c>
      <c r="I126" s="13" t="s">
        <v>1171</v>
      </c>
      <c r="J126" s="13"/>
      <c r="K126" s="13"/>
      <c r="L126" s="13" t="s">
        <v>1726</v>
      </c>
      <c r="M126" s="13" t="s">
        <v>1172</v>
      </c>
      <c r="N126" s="13"/>
      <c r="O126" s="13">
        <v>1596846771</v>
      </c>
      <c r="P126" s="13" t="s">
        <v>451</v>
      </c>
      <c r="Q126" s="13">
        <v>129.15953756280999</v>
      </c>
      <c r="R126" s="13">
        <v>37.475578192081798</v>
      </c>
    </row>
    <row r="127" spans="1:18" x14ac:dyDescent="0.3">
      <c r="A127" t="s">
        <v>93</v>
      </c>
      <c r="B127" t="s">
        <v>885</v>
      </c>
      <c r="C127" t="s">
        <v>1173</v>
      </c>
      <c r="D127" t="s">
        <v>1003</v>
      </c>
      <c r="E127">
        <v>4.3</v>
      </c>
      <c r="F127">
        <v>25</v>
      </c>
      <c r="G127">
        <v>151</v>
      </c>
      <c r="H127" s="13" t="s">
        <v>93</v>
      </c>
      <c r="I127" s="13" t="s">
        <v>882</v>
      </c>
      <c r="J127" s="13"/>
      <c r="K127" s="13"/>
      <c r="L127" s="13" t="s">
        <v>1816</v>
      </c>
      <c r="M127" s="13" t="s">
        <v>1174</v>
      </c>
      <c r="N127" s="13"/>
      <c r="O127" s="13">
        <v>20495123</v>
      </c>
      <c r="P127" s="13" t="s">
        <v>452</v>
      </c>
      <c r="Q127" s="13">
        <v>129.17740709769899</v>
      </c>
      <c r="R127" s="13">
        <v>37.433279854660903</v>
      </c>
    </row>
    <row r="128" spans="1:18" x14ac:dyDescent="0.3">
      <c r="A128" t="s">
        <v>94</v>
      </c>
      <c r="B128" t="s">
        <v>885</v>
      </c>
      <c r="C128" t="s">
        <v>1175</v>
      </c>
      <c r="D128" t="s">
        <v>1003</v>
      </c>
      <c r="E128">
        <v>5</v>
      </c>
      <c r="F128">
        <v>1</v>
      </c>
      <c r="G128">
        <v>18</v>
      </c>
      <c r="H128" s="13" t="s">
        <v>94</v>
      </c>
      <c r="I128" s="13" t="s">
        <v>1009</v>
      </c>
      <c r="J128" s="13"/>
      <c r="K128" s="13"/>
      <c r="L128" s="13" t="s">
        <v>1815</v>
      </c>
      <c r="M128" s="13"/>
      <c r="N128" s="13"/>
      <c r="O128" s="13">
        <v>8388351</v>
      </c>
      <c r="P128" s="13" t="s">
        <v>453</v>
      </c>
      <c r="Q128" s="13">
        <v>129.19068680311699</v>
      </c>
      <c r="R128" s="13">
        <v>37.4355783508</v>
      </c>
    </row>
    <row r="129" spans="1:18" x14ac:dyDescent="0.3">
      <c r="A129" t="s">
        <v>95</v>
      </c>
      <c r="B129" t="s">
        <v>885</v>
      </c>
      <c r="C129" t="s">
        <v>1176</v>
      </c>
      <c r="D129" t="s">
        <v>1003</v>
      </c>
      <c r="E129">
        <v>4.5999999999999996</v>
      </c>
      <c r="F129">
        <v>83</v>
      </c>
      <c r="G129">
        <v>18</v>
      </c>
      <c r="H129" s="13" t="s">
        <v>95</v>
      </c>
      <c r="I129" s="13" t="s">
        <v>854</v>
      </c>
      <c r="J129" s="13" t="s">
        <v>799</v>
      </c>
      <c r="K129" s="13" t="s">
        <v>800</v>
      </c>
      <c r="L129" s="13" t="s">
        <v>1814</v>
      </c>
      <c r="M129" s="13"/>
      <c r="N129" s="13" t="s">
        <v>1176</v>
      </c>
      <c r="O129" s="13">
        <v>7935331</v>
      </c>
      <c r="P129" s="13" t="s">
        <v>454</v>
      </c>
      <c r="Q129" s="13">
        <v>129.16984059238899</v>
      </c>
      <c r="R129" s="13">
        <v>37.467924980360202</v>
      </c>
    </row>
    <row r="130" spans="1:18" x14ac:dyDescent="0.3">
      <c r="A130" t="s">
        <v>96</v>
      </c>
      <c r="B130" t="s">
        <v>885</v>
      </c>
      <c r="C130" t="s">
        <v>1177</v>
      </c>
      <c r="D130" t="s">
        <v>1178</v>
      </c>
      <c r="E130">
        <v>3.2</v>
      </c>
      <c r="F130">
        <v>75</v>
      </c>
      <c r="G130">
        <v>110</v>
      </c>
      <c r="H130" s="13" t="s">
        <v>96</v>
      </c>
      <c r="I130" s="13" t="s">
        <v>1129</v>
      </c>
      <c r="J130" s="13"/>
      <c r="K130" s="13"/>
      <c r="L130" s="13" t="s">
        <v>1813</v>
      </c>
      <c r="M130" s="13" t="s">
        <v>1179</v>
      </c>
      <c r="N130" s="13" t="s">
        <v>1177</v>
      </c>
      <c r="O130" s="13">
        <v>1832162456</v>
      </c>
      <c r="P130" s="13" t="s">
        <v>455</v>
      </c>
      <c r="Q130" s="13">
        <v>129.308255409097</v>
      </c>
      <c r="R130" s="13">
        <v>37.289116469508599</v>
      </c>
    </row>
    <row r="131" spans="1:18" x14ac:dyDescent="0.3">
      <c r="A131" t="s">
        <v>97</v>
      </c>
      <c r="B131" t="s">
        <v>1180</v>
      </c>
      <c r="C131" t="s">
        <v>1177</v>
      </c>
      <c r="E131">
        <v>2.9</v>
      </c>
      <c r="F131">
        <v>69</v>
      </c>
      <c r="G131">
        <v>126</v>
      </c>
      <c r="H131" s="13" t="s">
        <v>97</v>
      </c>
      <c r="I131" s="13" t="s">
        <v>1129</v>
      </c>
      <c r="J131" s="13"/>
      <c r="K131" s="13"/>
      <c r="L131" s="13" t="s">
        <v>1812</v>
      </c>
      <c r="M131" s="13" t="s">
        <v>1181</v>
      </c>
      <c r="N131" s="13" t="s">
        <v>1177</v>
      </c>
      <c r="O131" s="13">
        <v>153613586</v>
      </c>
      <c r="P131" s="13" t="s">
        <v>456</v>
      </c>
      <c r="Q131" s="13">
        <v>129.31877193604899</v>
      </c>
      <c r="R131" s="13">
        <v>37.287919883671002</v>
      </c>
    </row>
    <row r="132" spans="1:18" x14ac:dyDescent="0.3">
      <c r="A132" t="s">
        <v>98</v>
      </c>
      <c r="B132" t="s">
        <v>941</v>
      </c>
      <c r="C132" t="s">
        <v>1182</v>
      </c>
      <c r="D132" t="s">
        <v>1183</v>
      </c>
      <c r="E132">
        <v>3.1</v>
      </c>
      <c r="F132">
        <v>24</v>
      </c>
      <c r="G132">
        <v>110</v>
      </c>
      <c r="H132" s="13" t="s">
        <v>98</v>
      </c>
      <c r="I132" s="13" t="s">
        <v>1184</v>
      </c>
      <c r="J132" s="13"/>
      <c r="K132" s="13"/>
      <c r="L132" s="13" t="s">
        <v>1811</v>
      </c>
      <c r="M132" s="13" t="s">
        <v>1185</v>
      </c>
      <c r="N132" s="13" t="s">
        <v>1182</v>
      </c>
      <c r="O132" s="13">
        <v>19881841</v>
      </c>
      <c r="P132" s="13" t="s">
        <v>457</v>
      </c>
      <c r="Q132" s="13">
        <v>128.88286279787101</v>
      </c>
      <c r="R132" s="13">
        <v>37.185017200696898</v>
      </c>
    </row>
    <row r="133" spans="1:18" x14ac:dyDescent="0.3">
      <c r="A133" t="s">
        <v>458</v>
      </c>
      <c r="B133" t="s">
        <v>955</v>
      </c>
      <c r="C133" t="s">
        <v>1186</v>
      </c>
      <c r="D133" t="s">
        <v>1187</v>
      </c>
      <c r="E133">
        <v>0</v>
      </c>
      <c r="F133">
        <v>30</v>
      </c>
      <c r="G133">
        <v>24</v>
      </c>
      <c r="H133" s="13" t="s">
        <v>459</v>
      </c>
      <c r="I133" s="13" t="s">
        <v>1046</v>
      </c>
      <c r="J133" s="13"/>
      <c r="K133" s="13"/>
      <c r="L133" s="13" t="s">
        <v>1810</v>
      </c>
      <c r="M133" s="13" t="s">
        <v>1188</v>
      </c>
      <c r="N133" s="13"/>
      <c r="O133" s="13">
        <v>853690564</v>
      </c>
      <c r="P133" s="13" t="s">
        <v>460</v>
      </c>
      <c r="Q133" s="13">
        <v>128.55312237503401</v>
      </c>
      <c r="R133" s="13">
        <v>38.165176643213698</v>
      </c>
    </row>
    <row r="134" spans="1:18" x14ac:dyDescent="0.3">
      <c r="A134" t="s">
        <v>304</v>
      </c>
      <c r="B134" t="s">
        <v>807</v>
      </c>
      <c r="C134" t="s">
        <v>916</v>
      </c>
      <c r="D134" t="s">
        <v>917</v>
      </c>
      <c r="E134">
        <v>4.5</v>
      </c>
      <c r="F134">
        <v>40</v>
      </c>
      <c r="G134">
        <v>64</v>
      </c>
      <c r="H134" s="13" t="s">
        <v>304</v>
      </c>
      <c r="I134" s="13" t="s">
        <v>918</v>
      </c>
      <c r="J134" s="13"/>
      <c r="K134" s="13"/>
      <c r="L134" s="13" t="s">
        <v>1809</v>
      </c>
      <c r="M134" s="13"/>
      <c r="N134" s="13"/>
      <c r="O134" s="13">
        <v>984257114</v>
      </c>
      <c r="P134" s="13" t="s">
        <v>305</v>
      </c>
      <c r="Q134" s="13">
        <v>128.52992529304001</v>
      </c>
      <c r="R134" s="13">
        <v>38.327507332776101</v>
      </c>
    </row>
    <row r="135" spans="1:18" x14ac:dyDescent="0.3">
      <c r="A135" t="s">
        <v>99</v>
      </c>
      <c r="B135" t="s">
        <v>838</v>
      </c>
      <c r="C135" t="s">
        <v>1189</v>
      </c>
      <c r="D135" t="s">
        <v>1190</v>
      </c>
      <c r="E135">
        <v>0</v>
      </c>
      <c r="F135">
        <v>30</v>
      </c>
      <c r="G135">
        <v>281</v>
      </c>
      <c r="H135" s="13" t="s">
        <v>99</v>
      </c>
      <c r="I135" s="13" t="s">
        <v>1191</v>
      </c>
      <c r="J135" s="13" t="s">
        <v>1192</v>
      </c>
      <c r="K135" s="13" t="s">
        <v>1193</v>
      </c>
      <c r="L135" s="13" t="s">
        <v>1808</v>
      </c>
      <c r="M135" s="13" t="s">
        <v>1194</v>
      </c>
      <c r="N135" s="13" t="s">
        <v>1189</v>
      </c>
      <c r="O135" s="13">
        <v>26911134</v>
      </c>
      <c r="P135" s="13" t="s">
        <v>461</v>
      </c>
      <c r="Q135" s="13">
        <v>128.71728231189601</v>
      </c>
      <c r="R135" s="13">
        <v>38.027834441415699</v>
      </c>
    </row>
    <row r="136" spans="1:18" x14ac:dyDescent="0.3">
      <c r="A136" t="s">
        <v>100</v>
      </c>
      <c r="B136" t="s">
        <v>955</v>
      </c>
      <c r="C136" t="s">
        <v>1195</v>
      </c>
      <c r="D136" t="s">
        <v>1196</v>
      </c>
      <c r="E136">
        <v>4.2</v>
      </c>
      <c r="F136">
        <v>25</v>
      </c>
      <c r="G136">
        <v>87</v>
      </c>
      <c r="H136" s="13" t="s">
        <v>100</v>
      </c>
      <c r="I136" s="13" t="s">
        <v>1111</v>
      </c>
      <c r="J136" s="13" t="s">
        <v>792</v>
      </c>
      <c r="K136" s="13" t="s">
        <v>793</v>
      </c>
      <c r="L136" s="13" t="s">
        <v>1807</v>
      </c>
      <c r="M136" s="13" t="s">
        <v>1197</v>
      </c>
      <c r="N136" s="13" t="s">
        <v>1198</v>
      </c>
      <c r="O136" s="13">
        <v>7951458</v>
      </c>
      <c r="P136" s="13" t="s">
        <v>462</v>
      </c>
      <c r="Q136" s="13">
        <v>128.58265680711401</v>
      </c>
      <c r="R136" s="13">
        <v>38.197921610060199</v>
      </c>
    </row>
    <row r="137" spans="1:18" x14ac:dyDescent="0.3">
      <c r="A137" t="s">
        <v>101</v>
      </c>
      <c r="B137" t="s">
        <v>980</v>
      </c>
      <c r="C137" t="s">
        <v>1047</v>
      </c>
      <c r="D137" t="s">
        <v>1199</v>
      </c>
      <c r="E137">
        <v>4.4000000000000004</v>
      </c>
      <c r="F137">
        <v>70</v>
      </c>
      <c r="G137">
        <v>194</v>
      </c>
      <c r="H137" s="13" t="s">
        <v>101</v>
      </c>
      <c r="I137" s="13" t="s">
        <v>918</v>
      </c>
      <c r="J137" s="13"/>
      <c r="K137" s="13"/>
      <c r="L137" s="13" t="s">
        <v>1806</v>
      </c>
      <c r="M137" s="13"/>
      <c r="N137" s="13"/>
      <c r="O137" s="13">
        <v>27002081</v>
      </c>
      <c r="P137" s="13" t="s">
        <v>463</v>
      </c>
      <c r="Q137" s="13">
        <v>128.43306129029301</v>
      </c>
      <c r="R137" s="13">
        <v>37.205664023521798</v>
      </c>
    </row>
    <row r="138" spans="1:18" x14ac:dyDescent="0.3">
      <c r="A138" t="s">
        <v>464</v>
      </c>
      <c r="B138" t="s">
        <v>967</v>
      </c>
      <c r="C138" t="s">
        <v>1200</v>
      </c>
      <c r="D138" t="s">
        <v>1201</v>
      </c>
      <c r="E138">
        <v>2.2999999999999998</v>
      </c>
      <c r="F138">
        <v>3</v>
      </c>
      <c r="G138">
        <v>1</v>
      </c>
      <c r="H138" s="13"/>
      <c r="I138" s="13"/>
      <c r="J138" s="13"/>
      <c r="K138" s="13"/>
      <c r="M138" s="13"/>
      <c r="N138" s="13"/>
      <c r="O138" s="13"/>
      <c r="P138" s="13"/>
      <c r="Q138" s="13"/>
      <c r="R138" s="13"/>
    </row>
    <row r="139" spans="1:18" x14ac:dyDescent="0.3">
      <c r="A139" t="s">
        <v>102</v>
      </c>
      <c r="B139" t="s">
        <v>955</v>
      </c>
      <c r="C139" t="s">
        <v>1202</v>
      </c>
      <c r="E139">
        <v>4.8</v>
      </c>
      <c r="F139">
        <v>129</v>
      </c>
      <c r="G139">
        <v>103</v>
      </c>
      <c r="H139" s="13" t="s">
        <v>102</v>
      </c>
      <c r="I139" s="13" t="s">
        <v>1059</v>
      </c>
      <c r="J139" s="13" t="s">
        <v>799</v>
      </c>
      <c r="K139" s="13" t="s">
        <v>800</v>
      </c>
      <c r="L139" s="13" t="s">
        <v>1805</v>
      </c>
      <c r="M139" s="13"/>
      <c r="N139" s="13" t="s">
        <v>1202</v>
      </c>
      <c r="O139" s="13">
        <v>21764909</v>
      </c>
      <c r="P139" s="13" t="s">
        <v>465</v>
      </c>
      <c r="Q139" s="13">
        <v>128.465361531463</v>
      </c>
      <c r="R139" s="13">
        <v>38.119125179317301</v>
      </c>
    </row>
    <row r="140" spans="1:18" x14ac:dyDescent="0.3">
      <c r="A140" t="s">
        <v>103</v>
      </c>
      <c r="B140" t="s">
        <v>955</v>
      </c>
      <c r="C140" t="s">
        <v>1203</v>
      </c>
      <c r="D140" t="s">
        <v>1204</v>
      </c>
      <c r="E140">
        <v>4.5999999999999996</v>
      </c>
      <c r="F140">
        <v>49</v>
      </c>
      <c r="G140">
        <v>167</v>
      </c>
      <c r="H140" s="13" t="s">
        <v>466</v>
      </c>
      <c r="I140" s="13" t="s">
        <v>850</v>
      </c>
      <c r="J140" s="13" t="s">
        <v>799</v>
      </c>
      <c r="K140" s="13" t="s">
        <v>800</v>
      </c>
      <c r="L140" s="13" t="s">
        <v>1804</v>
      </c>
      <c r="M140" s="13" t="s">
        <v>1205</v>
      </c>
      <c r="N140" s="13"/>
      <c r="O140" s="13">
        <v>24414762</v>
      </c>
      <c r="P140" s="13" t="s">
        <v>467</v>
      </c>
      <c r="Q140" s="13">
        <v>128.52499423582299</v>
      </c>
      <c r="R140" s="13">
        <v>38.196912093830498</v>
      </c>
    </row>
    <row r="141" spans="1:18" x14ac:dyDescent="0.3">
      <c r="A141" t="s">
        <v>104</v>
      </c>
      <c r="B141" t="s">
        <v>955</v>
      </c>
      <c r="C141" t="s">
        <v>1206</v>
      </c>
      <c r="D141" t="s">
        <v>1207</v>
      </c>
      <c r="E141">
        <v>3.8</v>
      </c>
      <c r="F141">
        <v>11</v>
      </c>
      <c r="G141">
        <v>33</v>
      </c>
      <c r="H141" s="13" t="s">
        <v>104</v>
      </c>
      <c r="I141" s="13" t="s">
        <v>882</v>
      </c>
      <c r="J141" s="13"/>
      <c r="K141" s="13"/>
      <c r="L141" s="13" t="s">
        <v>1803</v>
      </c>
      <c r="M141" s="13" t="s">
        <v>1208</v>
      </c>
      <c r="N141" s="13"/>
      <c r="O141" s="13">
        <v>8376588</v>
      </c>
      <c r="P141" s="13" t="s">
        <v>468</v>
      </c>
      <c r="Q141" s="13">
        <v>128.60864602428501</v>
      </c>
      <c r="R141" s="13">
        <v>38.1632363715159</v>
      </c>
    </row>
    <row r="142" spans="1:18" x14ac:dyDescent="0.3">
      <c r="A142" t="s">
        <v>105</v>
      </c>
      <c r="B142" t="s">
        <v>832</v>
      </c>
      <c r="C142" t="s">
        <v>1116</v>
      </c>
      <c r="D142" t="s">
        <v>1117</v>
      </c>
      <c r="E142">
        <v>3.8</v>
      </c>
      <c r="F142">
        <v>6</v>
      </c>
      <c r="G142">
        <v>18</v>
      </c>
      <c r="H142" s="13" t="s">
        <v>105</v>
      </c>
      <c r="I142" s="13" t="s">
        <v>896</v>
      </c>
      <c r="J142" s="13"/>
      <c r="K142" s="13"/>
      <c r="L142" s="13" t="s">
        <v>1802</v>
      </c>
      <c r="M142" s="13"/>
      <c r="N142" s="13"/>
      <c r="O142" s="13">
        <v>118414704</v>
      </c>
      <c r="P142" s="13" t="s">
        <v>469</v>
      </c>
      <c r="Q142" s="13">
        <v>127.898422800093</v>
      </c>
      <c r="R142" s="13">
        <v>37.425458864316198</v>
      </c>
    </row>
    <row r="143" spans="1:18" x14ac:dyDescent="0.3">
      <c r="A143" t="s">
        <v>106</v>
      </c>
      <c r="B143" t="s">
        <v>941</v>
      </c>
      <c r="D143" t="s">
        <v>1105</v>
      </c>
      <c r="E143">
        <v>4</v>
      </c>
      <c r="F143">
        <v>10</v>
      </c>
      <c r="G143">
        <v>9</v>
      </c>
      <c r="H143" s="13" t="s">
        <v>106</v>
      </c>
      <c r="I143" s="13" t="s">
        <v>925</v>
      </c>
      <c r="J143" s="13" t="s">
        <v>799</v>
      </c>
      <c r="K143" s="13" t="s">
        <v>800</v>
      </c>
      <c r="L143" s="13" t="s">
        <v>1801</v>
      </c>
      <c r="M143" s="13"/>
      <c r="N143" s="13"/>
      <c r="O143" s="13">
        <v>1088147159</v>
      </c>
      <c r="P143" s="13" t="s">
        <v>470</v>
      </c>
      <c r="Q143" s="13">
        <v>128.79334160197001</v>
      </c>
      <c r="R143" s="13">
        <v>37.327042558224399</v>
      </c>
    </row>
    <row r="144" spans="1:18" x14ac:dyDescent="0.3">
      <c r="A144" t="s">
        <v>471</v>
      </c>
      <c r="B144" t="s">
        <v>807</v>
      </c>
      <c r="C144" t="s">
        <v>1209</v>
      </c>
      <c r="D144" t="s">
        <v>1210</v>
      </c>
      <c r="E144">
        <v>0</v>
      </c>
      <c r="F144">
        <v>0</v>
      </c>
      <c r="G144">
        <v>0</v>
      </c>
      <c r="H144" s="13" t="s">
        <v>472</v>
      </c>
      <c r="I144" s="13" t="s">
        <v>1171</v>
      </c>
      <c r="J144" s="13"/>
      <c r="K144" s="13"/>
      <c r="L144" s="13" t="s">
        <v>1800</v>
      </c>
      <c r="M144" s="13" t="s">
        <v>1211</v>
      </c>
      <c r="N144" s="13" t="s">
        <v>1212</v>
      </c>
      <c r="O144" s="13">
        <v>24662303</v>
      </c>
      <c r="P144" s="13" t="s">
        <v>473</v>
      </c>
      <c r="Q144" s="13">
        <v>128.38030320298401</v>
      </c>
      <c r="R144" s="13">
        <v>38.331786355263297</v>
      </c>
    </row>
    <row r="145" spans="1:18" x14ac:dyDescent="0.3">
      <c r="A145" t="s">
        <v>474</v>
      </c>
      <c r="B145" t="s">
        <v>876</v>
      </c>
      <c r="C145" t="s">
        <v>1213</v>
      </c>
      <c r="D145" t="s">
        <v>936</v>
      </c>
      <c r="E145">
        <v>3.8</v>
      </c>
      <c r="F145">
        <v>150</v>
      </c>
      <c r="G145">
        <v>324</v>
      </c>
      <c r="H145" s="13" t="s">
        <v>475</v>
      </c>
      <c r="I145" s="13" t="s">
        <v>925</v>
      </c>
      <c r="J145" s="13" t="s">
        <v>799</v>
      </c>
      <c r="K145" s="13" t="s">
        <v>800</v>
      </c>
      <c r="L145" s="13" t="s">
        <v>1799</v>
      </c>
      <c r="M145" s="13" t="s">
        <v>1214</v>
      </c>
      <c r="N145" s="13" t="s">
        <v>1213</v>
      </c>
      <c r="O145" s="13">
        <v>1323084049</v>
      </c>
      <c r="P145" s="13" t="s">
        <v>476</v>
      </c>
      <c r="Q145" s="13">
        <v>127.723663859566</v>
      </c>
      <c r="R145" s="13">
        <v>37.893277604409398</v>
      </c>
    </row>
    <row r="146" spans="1:18" x14ac:dyDescent="0.3">
      <c r="A146" t="s">
        <v>107</v>
      </c>
      <c r="B146" t="s">
        <v>876</v>
      </c>
      <c r="C146" t="s">
        <v>1215</v>
      </c>
      <c r="D146" t="s">
        <v>936</v>
      </c>
      <c r="E146">
        <v>2.6</v>
      </c>
      <c r="F146">
        <v>5</v>
      </c>
      <c r="G146">
        <v>1</v>
      </c>
      <c r="H146" s="13" t="s">
        <v>107</v>
      </c>
      <c r="I146" s="13" t="s">
        <v>925</v>
      </c>
      <c r="J146" s="13" t="s">
        <v>799</v>
      </c>
      <c r="K146" s="13" t="s">
        <v>800</v>
      </c>
      <c r="L146" s="13" t="s">
        <v>1798</v>
      </c>
      <c r="M146" s="13"/>
      <c r="N146" s="13"/>
      <c r="O146" s="13">
        <v>26919839</v>
      </c>
      <c r="P146" s="13" t="s">
        <v>477</v>
      </c>
      <c r="Q146" s="13">
        <v>127.81841486814</v>
      </c>
      <c r="R146" s="13">
        <v>37.943818357014003</v>
      </c>
    </row>
    <row r="147" spans="1:18" x14ac:dyDescent="0.3">
      <c r="A147" t="s">
        <v>478</v>
      </c>
      <c r="B147" t="s">
        <v>1216</v>
      </c>
      <c r="E147">
        <v>2</v>
      </c>
      <c r="F147">
        <v>2</v>
      </c>
      <c r="G147">
        <v>0</v>
      </c>
      <c r="H147" s="13" t="s">
        <v>478</v>
      </c>
      <c r="I147" s="13" t="s">
        <v>973</v>
      </c>
      <c r="J147" s="13" t="s">
        <v>799</v>
      </c>
      <c r="K147" s="13" t="s">
        <v>800</v>
      </c>
      <c r="L147" s="13" t="s">
        <v>1797</v>
      </c>
      <c r="M147" s="13"/>
      <c r="N147" s="13"/>
      <c r="O147" s="13">
        <v>1094955731</v>
      </c>
      <c r="P147" s="13" t="s">
        <v>479</v>
      </c>
      <c r="Q147" s="13">
        <v>128.16884374462401</v>
      </c>
      <c r="R147" s="13">
        <v>38.036177030624103</v>
      </c>
    </row>
    <row r="148" spans="1:18" x14ac:dyDescent="0.3">
      <c r="A148" t="s">
        <v>480</v>
      </c>
      <c r="B148" t="s">
        <v>1216</v>
      </c>
      <c r="E148">
        <v>4</v>
      </c>
      <c r="F148">
        <v>1</v>
      </c>
      <c r="G148">
        <v>0</v>
      </c>
      <c r="H148" s="13" t="s">
        <v>480</v>
      </c>
      <c r="I148" s="13" t="s">
        <v>973</v>
      </c>
      <c r="J148" s="13" t="s">
        <v>799</v>
      </c>
      <c r="K148" s="13" t="s">
        <v>800</v>
      </c>
      <c r="L148" s="13" t="s">
        <v>1796</v>
      </c>
      <c r="M148" s="13"/>
      <c r="N148" s="13"/>
      <c r="O148" s="13">
        <v>26558408</v>
      </c>
      <c r="P148" s="13" t="s">
        <v>481</v>
      </c>
      <c r="Q148" s="13">
        <v>128.16821208887299</v>
      </c>
      <c r="R148" s="13">
        <v>38.034201376679199</v>
      </c>
    </row>
    <row r="149" spans="1:18" x14ac:dyDescent="0.3">
      <c r="A149" t="s">
        <v>482</v>
      </c>
      <c r="B149" t="s">
        <v>929</v>
      </c>
      <c r="C149" t="s">
        <v>1030</v>
      </c>
      <c r="E149">
        <v>4.5</v>
      </c>
      <c r="F149">
        <v>2</v>
      </c>
      <c r="G149">
        <v>1</v>
      </c>
      <c r="H149" s="13" t="s">
        <v>482</v>
      </c>
      <c r="I149" s="13" t="s">
        <v>973</v>
      </c>
      <c r="J149" s="13" t="s">
        <v>799</v>
      </c>
      <c r="K149" s="13" t="s">
        <v>800</v>
      </c>
      <c r="L149" s="13" t="s">
        <v>1795</v>
      </c>
      <c r="M149" s="13"/>
      <c r="N149" s="13"/>
      <c r="O149" s="13">
        <v>26558407</v>
      </c>
      <c r="P149" s="13" t="s">
        <v>483</v>
      </c>
      <c r="Q149" s="13">
        <v>128.17658208143499</v>
      </c>
      <c r="R149" s="13">
        <v>38.030536911019396</v>
      </c>
    </row>
    <row r="150" spans="1:18" x14ac:dyDescent="0.3">
      <c r="A150" t="s">
        <v>484</v>
      </c>
      <c r="B150" t="s">
        <v>813</v>
      </c>
      <c r="C150" t="s">
        <v>1217</v>
      </c>
      <c r="E150">
        <v>4.0999999999999996</v>
      </c>
      <c r="F150">
        <v>26</v>
      </c>
      <c r="G150">
        <v>12</v>
      </c>
      <c r="H150" s="13" t="s">
        <v>484</v>
      </c>
      <c r="I150" s="13" t="s">
        <v>1059</v>
      </c>
      <c r="J150" s="13" t="s">
        <v>799</v>
      </c>
      <c r="K150" s="13" t="s">
        <v>800</v>
      </c>
      <c r="L150" s="13" t="s">
        <v>1794</v>
      </c>
      <c r="M150" s="13"/>
      <c r="N150" s="13"/>
      <c r="O150" s="13">
        <v>27460313</v>
      </c>
      <c r="P150" s="13" t="s">
        <v>485</v>
      </c>
      <c r="Q150" s="13">
        <v>127.187786934456</v>
      </c>
      <c r="R150" s="13">
        <v>38.255527969296502</v>
      </c>
    </row>
    <row r="151" spans="1:18" x14ac:dyDescent="0.3">
      <c r="A151" t="s">
        <v>108</v>
      </c>
      <c r="B151" t="s">
        <v>1218</v>
      </c>
      <c r="E151">
        <v>4.3</v>
      </c>
      <c r="F151">
        <v>16</v>
      </c>
      <c r="G151">
        <v>1</v>
      </c>
      <c r="H151" s="13" t="s">
        <v>108</v>
      </c>
      <c r="I151" s="13" t="s">
        <v>925</v>
      </c>
      <c r="J151" s="13" t="s">
        <v>799</v>
      </c>
      <c r="K151" s="13" t="s">
        <v>800</v>
      </c>
      <c r="L151" s="13" t="s">
        <v>1793</v>
      </c>
      <c r="M151" s="13"/>
      <c r="N151" s="13"/>
      <c r="O151" s="13">
        <v>1428165417</v>
      </c>
      <c r="P151" s="13" t="s">
        <v>486</v>
      </c>
      <c r="Q151" s="13">
        <v>127.194562171942</v>
      </c>
      <c r="R151" s="13">
        <v>38.254738564028798</v>
      </c>
    </row>
    <row r="152" spans="1:18" x14ac:dyDescent="0.3">
      <c r="A152" t="s">
        <v>109</v>
      </c>
      <c r="B152" t="s">
        <v>1218</v>
      </c>
      <c r="C152" t="s">
        <v>1219</v>
      </c>
      <c r="E152">
        <v>4.4000000000000004</v>
      </c>
      <c r="F152">
        <v>33</v>
      </c>
      <c r="G152">
        <v>54</v>
      </c>
      <c r="H152" s="13" t="s">
        <v>109</v>
      </c>
      <c r="I152" s="13" t="s">
        <v>896</v>
      </c>
      <c r="J152" s="13"/>
      <c r="K152" s="13"/>
      <c r="L152" s="13" t="s">
        <v>1792</v>
      </c>
      <c r="M152" s="13"/>
      <c r="N152" s="13" t="s">
        <v>1219</v>
      </c>
      <c r="O152" s="13">
        <v>116342044</v>
      </c>
      <c r="P152" s="13" t="s">
        <v>487</v>
      </c>
      <c r="Q152" s="13">
        <v>127.199317950553</v>
      </c>
      <c r="R152" s="13">
        <v>38.2541666265084</v>
      </c>
    </row>
    <row r="153" spans="1:18" x14ac:dyDescent="0.3">
      <c r="A153" t="s">
        <v>110</v>
      </c>
      <c r="B153" t="s">
        <v>955</v>
      </c>
      <c r="C153" t="s">
        <v>1220</v>
      </c>
      <c r="D153" t="s">
        <v>1221</v>
      </c>
      <c r="E153">
        <v>3.6</v>
      </c>
      <c r="F153">
        <v>527</v>
      </c>
      <c r="G153">
        <v>994</v>
      </c>
      <c r="H153" s="13" t="s">
        <v>110</v>
      </c>
      <c r="I153" s="13" t="s">
        <v>864</v>
      </c>
      <c r="J153" s="13"/>
      <c r="K153" s="13"/>
      <c r="L153" s="13" t="s">
        <v>1791</v>
      </c>
      <c r="M153" s="13" t="s">
        <v>1222</v>
      </c>
      <c r="N153" s="13" t="s">
        <v>1220</v>
      </c>
      <c r="O153" s="13">
        <v>12797187</v>
      </c>
      <c r="P153" s="13" t="s">
        <v>488</v>
      </c>
      <c r="Q153" s="13">
        <v>128.59024573500901</v>
      </c>
      <c r="R153" s="13">
        <v>38.204542733975103</v>
      </c>
    </row>
    <row r="154" spans="1:18" x14ac:dyDescent="0.3">
      <c r="A154" t="s">
        <v>111</v>
      </c>
      <c r="B154" t="s">
        <v>955</v>
      </c>
      <c r="C154" t="s">
        <v>1223</v>
      </c>
      <c r="D154" t="s">
        <v>1207</v>
      </c>
      <c r="E154">
        <v>4.2</v>
      </c>
      <c r="F154">
        <v>69</v>
      </c>
      <c r="G154">
        <v>42</v>
      </c>
      <c r="H154" s="13" t="s">
        <v>489</v>
      </c>
      <c r="I154" s="13" t="s">
        <v>925</v>
      </c>
      <c r="J154" s="13" t="s">
        <v>799</v>
      </c>
      <c r="K154" s="13" t="s">
        <v>800</v>
      </c>
      <c r="L154" s="13" t="s">
        <v>1790</v>
      </c>
      <c r="M154" s="13"/>
      <c r="N154" s="13" t="s">
        <v>1223</v>
      </c>
      <c r="O154" s="13">
        <v>7952590</v>
      </c>
      <c r="P154" s="13" t="s">
        <v>490</v>
      </c>
      <c r="Q154" s="13">
        <v>128.60030738807501</v>
      </c>
      <c r="R154" s="13">
        <v>38.213644730027603</v>
      </c>
    </row>
    <row r="155" spans="1:18" x14ac:dyDescent="0.3">
      <c r="A155" t="s">
        <v>491</v>
      </c>
      <c r="B155" t="s">
        <v>955</v>
      </c>
      <c r="C155" t="s">
        <v>1224</v>
      </c>
      <c r="D155" t="s">
        <v>1225</v>
      </c>
      <c r="E155">
        <v>3.9</v>
      </c>
      <c r="F155">
        <v>34</v>
      </c>
      <c r="G155">
        <v>448</v>
      </c>
      <c r="H155" s="13" t="s">
        <v>491</v>
      </c>
      <c r="I155" s="13" t="s">
        <v>810</v>
      </c>
      <c r="J155" s="13" t="s">
        <v>792</v>
      </c>
      <c r="K155" s="13" t="s">
        <v>793</v>
      </c>
      <c r="L155" s="13" t="s">
        <v>1789</v>
      </c>
      <c r="M155" s="13" t="s">
        <v>1226</v>
      </c>
      <c r="N155" s="13" t="s">
        <v>1227</v>
      </c>
      <c r="O155" s="13">
        <v>9158247</v>
      </c>
      <c r="P155" s="13" t="s">
        <v>492</v>
      </c>
      <c r="Q155" s="13">
        <v>128.539408472698</v>
      </c>
      <c r="R155" s="13">
        <v>38.200572255799102</v>
      </c>
    </row>
    <row r="156" spans="1:18" x14ac:dyDescent="0.3">
      <c r="A156" t="s">
        <v>493</v>
      </c>
      <c r="B156" t="s">
        <v>955</v>
      </c>
      <c r="C156" t="s">
        <v>1228</v>
      </c>
      <c r="D156" t="s">
        <v>1207</v>
      </c>
      <c r="E156">
        <v>0</v>
      </c>
      <c r="F156">
        <v>0</v>
      </c>
      <c r="G156">
        <v>0</v>
      </c>
      <c r="H156" s="13" t="s">
        <v>494</v>
      </c>
      <c r="I156" s="13" t="s">
        <v>1229</v>
      </c>
      <c r="J156" s="13"/>
      <c r="K156" s="13"/>
      <c r="L156" s="13" t="s">
        <v>1788</v>
      </c>
      <c r="M156" s="13" t="s">
        <v>1230</v>
      </c>
      <c r="N156" s="13" t="s">
        <v>1231</v>
      </c>
      <c r="O156" s="13">
        <v>280362639</v>
      </c>
      <c r="P156" s="13" t="s">
        <v>495</v>
      </c>
      <c r="Q156" s="13">
        <v>128.592245091628</v>
      </c>
      <c r="R156" s="13">
        <v>38.202150987473303</v>
      </c>
    </row>
    <row r="157" spans="1:18" x14ac:dyDescent="0.3">
      <c r="A157" t="s">
        <v>112</v>
      </c>
      <c r="B157" t="s">
        <v>955</v>
      </c>
      <c r="C157" t="s">
        <v>1232</v>
      </c>
      <c r="D157" t="s">
        <v>1207</v>
      </c>
      <c r="E157">
        <v>4.5</v>
      </c>
      <c r="F157">
        <v>321</v>
      </c>
      <c r="G157">
        <v>589</v>
      </c>
      <c r="H157" s="13" t="s">
        <v>112</v>
      </c>
      <c r="I157" s="13" t="s">
        <v>854</v>
      </c>
      <c r="J157" s="13" t="s">
        <v>799</v>
      </c>
      <c r="K157" s="13" t="s">
        <v>800</v>
      </c>
      <c r="L157" s="13" t="s">
        <v>1787</v>
      </c>
      <c r="M157" s="13" t="s">
        <v>1233</v>
      </c>
      <c r="N157" s="13" t="s">
        <v>1234</v>
      </c>
      <c r="O157" s="13">
        <v>22099937</v>
      </c>
      <c r="P157" s="13" t="s">
        <v>496</v>
      </c>
      <c r="Q157" s="13">
        <v>128.604098478059</v>
      </c>
      <c r="R157" s="13">
        <v>38.190052888143697</v>
      </c>
    </row>
    <row r="158" spans="1:18" x14ac:dyDescent="0.3">
      <c r="A158" t="s">
        <v>497</v>
      </c>
      <c r="B158" t="s">
        <v>813</v>
      </c>
      <c r="C158" t="s">
        <v>1081</v>
      </c>
      <c r="E158">
        <v>4.5</v>
      </c>
      <c r="F158">
        <v>321</v>
      </c>
      <c r="G158">
        <v>589</v>
      </c>
      <c r="H158" s="13" t="s">
        <v>498</v>
      </c>
      <c r="I158" s="13" t="s">
        <v>1235</v>
      </c>
      <c r="J158" s="13" t="s">
        <v>799</v>
      </c>
      <c r="K158" s="13" t="s">
        <v>800</v>
      </c>
      <c r="L158" s="13" t="s">
        <v>1786</v>
      </c>
      <c r="M158" s="13"/>
      <c r="N158" s="13"/>
      <c r="O158" s="13">
        <v>11495472</v>
      </c>
      <c r="P158" s="13" t="s">
        <v>499</v>
      </c>
      <c r="Q158" s="13">
        <v>127.27745910069601</v>
      </c>
      <c r="R158" s="13">
        <v>38.201217425596298</v>
      </c>
    </row>
    <row r="159" spans="1:18" x14ac:dyDescent="0.3">
      <c r="A159" t="s">
        <v>113</v>
      </c>
      <c r="B159" t="s">
        <v>838</v>
      </c>
      <c r="C159" t="s">
        <v>1236</v>
      </c>
      <c r="D159" t="s">
        <v>1237</v>
      </c>
      <c r="E159">
        <v>4.0999999999999996</v>
      </c>
      <c r="F159">
        <v>27</v>
      </c>
      <c r="G159">
        <v>33</v>
      </c>
      <c r="H159" s="13" t="s">
        <v>113</v>
      </c>
      <c r="I159" s="13" t="s">
        <v>944</v>
      </c>
      <c r="J159" s="13" t="s">
        <v>799</v>
      </c>
      <c r="K159" s="13" t="s">
        <v>800</v>
      </c>
      <c r="L159" s="13" t="s">
        <v>1785</v>
      </c>
      <c r="M159" s="13" t="s">
        <v>1238</v>
      </c>
      <c r="N159" s="13" t="s">
        <v>1239</v>
      </c>
      <c r="O159" s="13">
        <v>17958942</v>
      </c>
      <c r="P159" s="13" t="s">
        <v>500</v>
      </c>
      <c r="Q159" s="13">
        <v>128.62145550954901</v>
      </c>
      <c r="R159" s="13">
        <v>38.053970144870298</v>
      </c>
    </row>
    <row r="160" spans="1:18" x14ac:dyDescent="0.3">
      <c r="A160" t="s">
        <v>114</v>
      </c>
      <c r="B160" t="s">
        <v>807</v>
      </c>
      <c r="C160" t="s">
        <v>1240</v>
      </c>
      <c r="D160" t="s">
        <v>898</v>
      </c>
      <c r="E160">
        <v>4.5</v>
      </c>
      <c r="F160">
        <v>13</v>
      </c>
      <c r="G160">
        <v>8</v>
      </c>
      <c r="H160" s="13" t="s">
        <v>501</v>
      </c>
      <c r="I160" s="13" t="s">
        <v>1241</v>
      </c>
      <c r="J160" s="13"/>
      <c r="K160" s="13"/>
      <c r="L160" s="13" t="s">
        <v>1784</v>
      </c>
      <c r="M160" s="13" t="s">
        <v>1242</v>
      </c>
      <c r="N160" s="13" t="s">
        <v>1243</v>
      </c>
      <c r="O160" s="13">
        <v>1482807704</v>
      </c>
      <c r="P160" s="13" t="s">
        <v>502</v>
      </c>
      <c r="Q160" s="13">
        <v>128.51369466054899</v>
      </c>
      <c r="R160" s="13">
        <v>38.3440883021376</v>
      </c>
    </row>
    <row r="161" spans="1:18" x14ac:dyDescent="0.3">
      <c r="A161" t="s">
        <v>115</v>
      </c>
      <c r="B161" t="s">
        <v>807</v>
      </c>
      <c r="C161" t="s">
        <v>1244</v>
      </c>
      <c r="D161" t="s">
        <v>1245</v>
      </c>
      <c r="E161">
        <v>3.9</v>
      </c>
      <c r="F161">
        <v>43</v>
      </c>
      <c r="G161">
        <v>94</v>
      </c>
      <c r="H161" s="13" t="s">
        <v>115</v>
      </c>
      <c r="I161" s="13" t="s">
        <v>925</v>
      </c>
      <c r="J161" s="13" t="s">
        <v>799</v>
      </c>
      <c r="K161" s="13" t="s">
        <v>800</v>
      </c>
      <c r="L161" s="13" t="s">
        <v>1783</v>
      </c>
      <c r="M161" s="13" t="s">
        <v>1246</v>
      </c>
      <c r="N161" s="13" t="s">
        <v>1244</v>
      </c>
      <c r="O161" s="13">
        <v>9159196</v>
      </c>
      <c r="P161" s="13" t="s">
        <v>503</v>
      </c>
      <c r="Q161" s="13">
        <v>128.517608792673</v>
      </c>
      <c r="R161" s="13">
        <v>38.336252056268499</v>
      </c>
    </row>
    <row r="162" spans="1:18" x14ac:dyDescent="0.3">
      <c r="A162" t="s">
        <v>504</v>
      </c>
      <c r="B162" t="s">
        <v>838</v>
      </c>
      <c r="C162" t="s">
        <v>1247</v>
      </c>
      <c r="D162" t="s">
        <v>1248</v>
      </c>
      <c r="E162">
        <v>3.8</v>
      </c>
      <c r="F162">
        <v>6</v>
      </c>
      <c r="G162">
        <v>16</v>
      </c>
      <c r="H162" s="13" t="s">
        <v>504</v>
      </c>
      <c r="I162" s="13" t="s">
        <v>986</v>
      </c>
      <c r="J162" s="13"/>
      <c r="K162" s="13"/>
      <c r="L162" s="13" t="s">
        <v>1782</v>
      </c>
      <c r="M162" s="13" t="s">
        <v>1249</v>
      </c>
      <c r="N162" s="13" t="s">
        <v>1250</v>
      </c>
      <c r="O162" s="13">
        <v>7993056</v>
      </c>
      <c r="P162" s="13" t="s">
        <v>505</v>
      </c>
      <c r="Q162" s="13">
        <v>128.55443888394501</v>
      </c>
      <c r="R162" s="13">
        <v>38.0516722748389</v>
      </c>
    </row>
    <row r="163" spans="1:18" x14ac:dyDescent="0.3">
      <c r="A163" t="s">
        <v>116</v>
      </c>
      <c r="B163" t="s">
        <v>885</v>
      </c>
      <c r="C163" t="s">
        <v>1251</v>
      </c>
      <c r="D163" t="s">
        <v>1003</v>
      </c>
      <c r="E163">
        <v>3.6</v>
      </c>
      <c r="F163">
        <v>32</v>
      </c>
      <c r="G163">
        <v>5</v>
      </c>
      <c r="H163" s="13" t="s">
        <v>116</v>
      </c>
      <c r="I163" s="13" t="s">
        <v>815</v>
      </c>
      <c r="J163" s="13"/>
      <c r="K163" s="13"/>
      <c r="L163" s="13" t="s">
        <v>1781</v>
      </c>
      <c r="M163" s="13"/>
      <c r="N163" s="13" t="s">
        <v>1252</v>
      </c>
      <c r="O163" s="13">
        <v>23680795</v>
      </c>
      <c r="P163" s="13" t="s">
        <v>506</v>
      </c>
      <c r="Q163" s="13">
        <v>129.34981289203901</v>
      </c>
      <c r="R163" s="13">
        <v>37.234680403993899</v>
      </c>
    </row>
    <row r="164" spans="1:18" x14ac:dyDescent="0.3">
      <c r="A164" t="s">
        <v>117</v>
      </c>
      <c r="B164" t="s">
        <v>822</v>
      </c>
      <c r="C164" t="s">
        <v>1253</v>
      </c>
      <c r="D164" t="s">
        <v>1254</v>
      </c>
      <c r="E164">
        <v>4.8</v>
      </c>
      <c r="F164">
        <v>39</v>
      </c>
      <c r="G164">
        <v>170</v>
      </c>
      <c r="H164" s="13" t="s">
        <v>117</v>
      </c>
      <c r="I164" s="13" t="s">
        <v>899</v>
      </c>
      <c r="J164" s="13"/>
      <c r="K164" s="13"/>
      <c r="L164" s="13" t="s">
        <v>1780</v>
      </c>
      <c r="M164" s="13" t="s">
        <v>1255</v>
      </c>
      <c r="N164" s="13" t="s">
        <v>1253</v>
      </c>
      <c r="O164" s="13">
        <v>10544634</v>
      </c>
      <c r="P164" s="13" t="s">
        <v>507</v>
      </c>
      <c r="Q164" s="13">
        <v>127.959095049165</v>
      </c>
      <c r="R164" s="13">
        <v>37.698500385865501</v>
      </c>
    </row>
    <row r="165" spans="1:18" x14ac:dyDescent="0.3">
      <c r="A165" t="s">
        <v>118</v>
      </c>
      <c r="B165" t="s">
        <v>822</v>
      </c>
      <c r="C165" t="s">
        <v>1256</v>
      </c>
      <c r="D165" t="s">
        <v>1257</v>
      </c>
      <c r="E165">
        <v>4.8</v>
      </c>
      <c r="F165">
        <v>14</v>
      </c>
      <c r="G165">
        <v>101</v>
      </c>
      <c r="H165" s="13" t="s">
        <v>118</v>
      </c>
      <c r="I165" s="13" t="s">
        <v>882</v>
      </c>
      <c r="J165" s="13"/>
      <c r="K165" s="13"/>
      <c r="L165" s="13" t="s">
        <v>1779</v>
      </c>
      <c r="M165" s="13"/>
      <c r="N165" s="13"/>
      <c r="O165" s="13">
        <v>1205240657</v>
      </c>
      <c r="P165" s="13" t="s">
        <v>508</v>
      </c>
      <c r="Q165" s="13">
        <v>127.952202104579</v>
      </c>
      <c r="R165" s="13">
        <v>37.694851570226803</v>
      </c>
    </row>
    <row r="166" spans="1:18" x14ac:dyDescent="0.3">
      <c r="A166" t="s">
        <v>119</v>
      </c>
      <c r="B166" t="s">
        <v>813</v>
      </c>
      <c r="C166" t="s">
        <v>1165</v>
      </c>
      <c r="E166">
        <v>4.4000000000000004</v>
      </c>
      <c r="F166">
        <v>25</v>
      </c>
      <c r="G166">
        <v>15</v>
      </c>
      <c r="H166" s="13" t="s">
        <v>119</v>
      </c>
      <c r="I166" s="13" t="s">
        <v>928</v>
      </c>
      <c r="J166" s="13" t="s">
        <v>799</v>
      </c>
      <c r="K166" s="13" t="s">
        <v>800</v>
      </c>
      <c r="L166" s="13" t="s">
        <v>1778</v>
      </c>
      <c r="M166" s="13"/>
      <c r="N166" s="13" t="s">
        <v>1165</v>
      </c>
      <c r="O166" s="13">
        <v>7967160</v>
      </c>
      <c r="P166" s="13" t="s">
        <v>509</v>
      </c>
      <c r="Q166" s="13">
        <v>127.29836185604999</v>
      </c>
      <c r="R166" s="13">
        <v>38.175804097035801</v>
      </c>
    </row>
    <row r="167" spans="1:18" x14ac:dyDescent="0.3">
      <c r="A167" t="s">
        <v>120</v>
      </c>
      <c r="B167" t="s">
        <v>929</v>
      </c>
      <c r="C167" t="s">
        <v>1258</v>
      </c>
      <c r="E167">
        <v>4.5999999999999996</v>
      </c>
      <c r="F167">
        <v>8</v>
      </c>
      <c r="G167">
        <v>15</v>
      </c>
      <c r="H167" s="13" t="s">
        <v>120</v>
      </c>
      <c r="I167" s="13" t="s">
        <v>928</v>
      </c>
      <c r="J167" s="13" t="s">
        <v>799</v>
      </c>
      <c r="K167" s="13" t="s">
        <v>800</v>
      </c>
      <c r="L167" s="13" t="s">
        <v>1777</v>
      </c>
      <c r="M167" s="13"/>
      <c r="N167" s="13"/>
      <c r="O167" s="13">
        <v>25617721</v>
      </c>
      <c r="P167" s="13" t="s">
        <v>510</v>
      </c>
      <c r="Q167" s="13">
        <v>128.31593400692401</v>
      </c>
      <c r="R167" s="13">
        <v>38.168741104196897</v>
      </c>
    </row>
    <row r="168" spans="1:18" x14ac:dyDescent="0.3">
      <c r="A168" t="s">
        <v>121</v>
      </c>
      <c r="B168" t="s">
        <v>803</v>
      </c>
      <c r="C168" t="s">
        <v>867</v>
      </c>
      <c r="D168" t="s">
        <v>1259</v>
      </c>
      <c r="E168">
        <v>4.3</v>
      </c>
      <c r="F168">
        <v>62</v>
      </c>
      <c r="G168">
        <v>162</v>
      </c>
      <c r="H168" s="13" t="s">
        <v>121</v>
      </c>
      <c r="I168" s="13" t="s">
        <v>815</v>
      </c>
      <c r="J168" s="13"/>
      <c r="K168" s="13"/>
      <c r="L168" s="13" t="s">
        <v>1776</v>
      </c>
      <c r="M168" s="13"/>
      <c r="N168" s="13"/>
      <c r="O168" s="13">
        <v>8416134</v>
      </c>
      <c r="P168" s="13" t="s">
        <v>511</v>
      </c>
      <c r="Q168" s="13">
        <v>128.83027717812499</v>
      </c>
      <c r="R168" s="13">
        <v>37.905957845062098</v>
      </c>
    </row>
    <row r="169" spans="1:18" x14ac:dyDescent="0.3">
      <c r="A169" t="s">
        <v>122</v>
      </c>
      <c r="B169" t="s">
        <v>803</v>
      </c>
      <c r="C169" t="s">
        <v>1260</v>
      </c>
      <c r="D169" t="s">
        <v>1261</v>
      </c>
      <c r="E169">
        <v>3.8</v>
      </c>
      <c r="F169">
        <v>282</v>
      </c>
      <c r="G169">
        <v>1644</v>
      </c>
      <c r="H169" s="13" t="s">
        <v>122</v>
      </c>
      <c r="I169" s="13" t="s">
        <v>989</v>
      </c>
      <c r="J169" s="13" t="s">
        <v>792</v>
      </c>
      <c r="K169" s="13" t="s">
        <v>793</v>
      </c>
      <c r="L169" s="13" t="s">
        <v>1775</v>
      </c>
      <c r="M169" s="13" t="s">
        <v>1262</v>
      </c>
      <c r="N169" s="13" t="s">
        <v>1260</v>
      </c>
      <c r="O169" s="13">
        <v>2115731103</v>
      </c>
      <c r="P169" s="13" t="s">
        <v>513</v>
      </c>
      <c r="Q169" s="13">
        <v>128.90753392582999</v>
      </c>
      <c r="R169" s="13">
        <v>37.791698395443397</v>
      </c>
    </row>
    <row r="170" spans="1:18" x14ac:dyDescent="0.3">
      <c r="A170" t="s">
        <v>514</v>
      </c>
      <c r="B170" t="s">
        <v>941</v>
      </c>
      <c r="C170" t="s">
        <v>1137</v>
      </c>
      <c r="D170" t="s">
        <v>1138</v>
      </c>
      <c r="E170">
        <v>3.6</v>
      </c>
      <c r="F170">
        <v>12</v>
      </c>
      <c r="G170">
        <v>3</v>
      </c>
      <c r="H170" s="13" t="s">
        <v>514</v>
      </c>
      <c r="I170" s="13" t="s">
        <v>1263</v>
      </c>
      <c r="J170" s="13"/>
      <c r="K170" s="13"/>
      <c r="L170" s="13" t="s">
        <v>1774</v>
      </c>
      <c r="M170" s="13" t="s">
        <v>1264</v>
      </c>
      <c r="N170" s="13"/>
      <c r="O170" s="13">
        <v>18845042</v>
      </c>
      <c r="P170" s="13" t="s">
        <v>515</v>
      </c>
      <c r="Q170" s="13">
        <v>128.634798929797</v>
      </c>
      <c r="R170" s="13">
        <v>37.363386176827802</v>
      </c>
    </row>
    <row r="171" spans="1:18" x14ac:dyDescent="0.3">
      <c r="A171" t="s">
        <v>516</v>
      </c>
      <c r="B171" t="s">
        <v>955</v>
      </c>
      <c r="C171" t="s">
        <v>1265</v>
      </c>
      <c r="D171" t="s">
        <v>1266</v>
      </c>
      <c r="E171">
        <v>0</v>
      </c>
      <c r="F171">
        <v>30</v>
      </c>
      <c r="G171">
        <v>10</v>
      </c>
      <c r="H171" s="13" t="s">
        <v>516</v>
      </c>
      <c r="I171" s="13" t="s">
        <v>1046</v>
      </c>
      <c r="J171" s="13"/>
      <c r="K171" s="13"/>
      <c r="L171" s="13" t="s">
        <v>1773</v>
      </c>
      <c r="M171" s="13"/>
      <c r="N171" s="13" t="s">
        <v>1265</v>
      </c>
      <c r="O171" s="13">
        <v>11951680</v>
      </c>
      <c r="P171" s="13" t="s">
        <v>517</v>
      </c>
      <c r="Q171" s="13">
        <v>128.59422856636201</v>
      </c>
      <c r="R171" s="13">
        <v>38.202177212336103</v>
      </c>
    </row>
    <row r="172" spans="1:18" x14ac:dyDescent="0.3">
      <c r="A172" t="s">
        <v>123</v>
      </c>
      <c r="B172" t="s">
        <v>807</v>
      </c>
      <c r="C172" t="s">
        <v>1142</v>
      </c>
      <c r="D172" t="s">
        <v>1267</v>
      </c>
      <c r="E172">
        <v>4.2</v>
      </c>
      <c r="F172">
        <v>141</v>
      </c>
      <c r="G172">
        <v>298</v>
      </c>
      <c r="H172" s="13" t="s">
        <v>123</v>
      </c>
      <c r="I172" s="13" t="s">
        <v>854</v>
      </c>
      <c r="J172" s="13" t="s">
        <v>799</v>
      </c>
      <c r="K172" s="13" t="s">
        <v>800</v>
      </c>
      <c r="L172" s="13" t="s">
        <v>1772</v>
      </c>
      <c r="M172" s="13"/>
      <c r="N172" s="13"/>
      <c r="O172" s="13">
        <v>7990660</v>
      </c>
      <c r="P172" s="13" t="s">
        <v>518</v>
      </c>
      <c r="Q172" s="13">
        <v>128.553373007462</v>
      </c>
      <c r="R172" s="13">
        <v>38.276835012630698</v>
      </c>
    </row>
    <row r="173" spans="1:18" x14ac:dyDescent="0.3">
      <c r="A173" t="s">
        <v>124</v>
      </c>
      <c r="B173" t="s">
        <v>967</v>
      </c>
      <c r="C173" t="s">
        <v>1268</v>
      </c>
      <c r="D173" t="s">
        <v>1269</v>
      </c>
      <c r="E173">
        <v>4.5999999999999996</v>
      </c>
      <c r="F173">
        <v>12</v>
      </c>
      <c r="G173">
        <v>235</v>
      </c>
      <c r="H173" s="13" t="s">
        <v>124</v>
      </c>
      <c r="I173" s="13" t="s">
        <v>986</v>
      </c>
      <c r="J173" s="13"/>
      <c r="K173" s="13"/>
      <c r="L173" s="13" t="s">
        <v>1771</v>
      </c>
      <c r="M173" s="13" t="s">
        <v>1270</v>
      </c>
      <c r="N173" s="13" t="s">
        <v>1271</v>
      </c>
      <c r="O173" s="13">
        <v>1170610387</v>
      </c>
      <c r="P173" s="13" t="s">
        <v>519</v>
      </c>
      <c r="Q173" s="13">
        <v>128.155566586296</v>
      </c>
      <c r="R173" s="13">
        <v>37.409659683361802</v>
      </c>
    </row>
    <row r="174" spans="1:18" x14ac:dyDescent="0.3">
      <c r="A174" t="s">
        <v>125</v>
      </c>
      <c r="B174" t="s">
        <v>822</v>
      </c>
      <c r="C174" t="s">
        <v>1272</v>
      </c>
      <c r="D174" t="s">
        <v>1273</v>
      </c>
      <c r="H174" s="13" t="s">
        <v>125</v>
      </c>
      <c r="I174" s="13" t="s">
        <v>798</v>
      </c>
      <c r="J174" s="13" t="s">
        <v>799</v>
      </c>
      <c r="K174" s="13" t="s">
        <v>800</v>
      </c>
      <c r="L174" s="13" t="s">
        <v>1770</v>
      </c>
      <c r="M174" s="13" t="s">
        <v>1274</v>
      </c>
      <c r="N174" s="13" t="s">
        <v>1272</v>
      </c>
      <c r="O174" s="13">
        <v>1308332525</v>
      </c>
      <c r="P174" s="13" t="s">
        <v>521</v>
      </c>
      <c r="Q174" s="13">
        <v>127.883736123783</v>
      </c>
      <c r="R174" s="13">
        <v>37.827649644186103</v>
      </c>
    </row>
    <row r="175" spans="1:18" x14ac:dyDescent="0.3">
      <c r="A175" t="s">
        <v>126</v>
      </c>
      <c r="B175" t="s">
        <v>788</v>
      </c>
      <c r="C175" t="s">
        <v>1275</v>
      </c>
      <c r="D175" t="s">
        <v>1276</v>
      </c>
      <c r="E175">
        <v>4</v>
      </c>
      <c r="F175">
        <v>10</v>
      </c>
      <c r="G175">
        <v>51</v>
      </c>
      <c r="H175" s="13" t="s">
        <v>126</v>
      </c>
      <c r="I175" s="13" t="s">
        <v>1263</v>
      </c>
      <c r="J175" s="13"/>
      <c r="K175" s="13"/>
      <c r="L175" s="13" t="s">
        <v>1769</v>
      </c>
      <c r="M175" s="13" t="s">
        <v>1277</v>
      </c>
      <c r="N175" s="13"/>
      <c r="O175" s="13">
        <v>17573656</v>
      </c>
      <c r="P175" s="13" t="s">
        <v>522</v>
      </c>
      <c r="Q175" s="13">
        <v>128.68238125103699</v>
      </c>
      <c r="R175" s="13">
        <v>37.663395093058902</v>
      </c>
    </row>
    <row r="176" spans="1:18" x14ac:dyDescent="0.3">
      <c r="A176" t="s">
        <v>523</v>
      </c>
      <c r="B176" t="s">
        <v>817</v>
      </c>
      <c r="C176" t="s">
        <v>1278</v>
      </c>
      <c r="D176" t="s">
        <v>1279</v>
      </c>
      <c r="E176">
        <v>0</v>
      </c>
      <c r="F176">
        <v>0</v>
      </c>
      <c r="G176">
        <v>15</v>
      </c>
      <c r="H176" s="13" t="s">
        <v>524</v>
      </c>
      <c r="I176" s="13" t="s">
        <v>810</v>
      </c>
      <c r="J176" s="13" t="s">
        <v>792</v>
      </c>
      <c r="K176" s="13" t="s">
        <v>793</v>
      </c>
      <c r="L176" s="13" t="s">
        <v>1767</v>
      </c>
      <c r="M176" s="13" t="s">
        <v>1280</v>
      </c>
      <c r="N176" s="13" t="s">
        <v>1281</v>
      </c>
      <c r="O176" s="13">
        <v>7996267</v>
      </c>
      <c r="P176" s="13" t="s">
        <v>525</v>
      </c>
      <c r="Q176" s="13">
        <v>127.99041230346501</v>
      </c>
      <c r="R176" s="13">
        <v>38.122234933954203</v>
      </c>
    </row>
    <row r="177" spans="1:18" x14ac:dyDescent="0.3">
      <c r="A177" t="s">
        <v>127</v>
      </c>
      <c r="B177" t="s">
        <v>817</v>
      </c>
      <c r="C177" t="s">
        <v>1282</v>
      </c>
      <c r="D177" t="s">
        <v>1283</v>
      </c>
      <c r="E177">
        <v>4.5</v>
      </c>
      <c r="F177">
        <v>13</v>
      </c>
      <c r="G177">
        <v>120</v>
      </c>
      <c r="H177" s="13" t="s">
        <v>526</v>
      </c>
      <c r="I177" s="13" t="s">
        <v>810</v>
      </c>
      <c r="J177" s="13" t="s">
        <v>792</v>
      </c>
      <c r="K177" s="13" t="s">
        <v>793</v>
      </c>
      <c r="L177" s="13" t="s">
        <v>1768</v>
      </c>
      <c r="M177" s="13" t="s">
        <v>1284</v>
      </c>
      <c r="N177" s="13" t="s">
        <v>1285</v>
      </c>
      <c r="O177" s="13">
        <v>20126918</v>
      </c>
      <c r="P177" s="13" t="s">
        <v>527</v>
      </c>
      <c r="Q177" s="13">
        <v>127.951683740524</v>
      </c>
      <c r="R177" s="13">
        <v>38.207464286682601</v>
      </c>
    </row>
    <row r="178" spans="1:18" x14ac:dyDescent="0.3">
      <c r="A178" t="s">
        <v>128</v>
      </c>
      <c r="B178" t="s">
        <v>817</v>
      </c>
      <c r="C178" t="s">
        <v>1286</v>
      </c>
      <c r="D178" t="s">
        <v>1279</v>
      </c>
      <c r="E178">
        <v>0</v>
      </c>
      <c r="F178">
        <v>0</v>
      </c>
      <c r="G178">
        <v>18</v>
      </c>
      <c r="H178" s="13" t="s">
        <v>528</v>
      </c>
      <c r="I178" s="13" t="s">
        <v>810</v>
      </c>
      <c r="J178" s="13" t="s">
        <v>792</v>
      </c>
      <c r="K178" s="13" t="s">
        <v>793</v>
      </c>
      <c r="L178" s="13" t="s">
        <v>1767</v>
      </c>
      <c r="M178" s="13" t="s">
        <v>1287</v>
      </c>
      <c r="N178" s="13" t="s">
        <v>1281</v>
      </c>
      <c r="O178" s="13">
        <v>11107311</v>
      </c>
      <c r="P178" s="13" t="s">
        <v>529</v>
      </c>
      <c r="Q178" s="13">
        <v>127.99036602099299</v>
      </c>
      <c r="R178" s="13">
        <v>38.123536192381103</v>
      </c>
    </row>
    <row r="179" spans="1:18" x14ac:dyDescent="0.3">
      <c r="A179" t="s">
        <v>129</v>
      </c>
      <c r="B179" t="s">
        <v>817</v>
      </c>
      <c r="C179" t="s">
        <v>1288</v>
      </c>
      <c r="D179" t="s">
        <v>975</v>
      </c>
      <c r="E179">
        <v>0</v>
      </c>
      <c r="F179">
        <v>0</v>
      </c>
      <c r="G179">
        <v>17</v>
      </c>
      <c r="H179" s="13" t="s">
        <v>530</v>
      </c>
      <c r="I179" s="13" t="s">
        <v>989</v>
      </c>
      <c r="J179" s="13" t="s">
        <v>792</v>
      </c>
      <c r="K179" s="13" t="s">
        <v>793</v>
      </c>
      <c r="L179" s="13" t="s">
        <v>1766</v>
      </c>
      <c r="M179" s="13" t="s">
        <v>821</v>
      </c>
      <c r="N179" s="13" t="s">
        <v>1289</v>
      </c>
      <c r="O179" s="13">
        <v>10588483</v>
      </c>
      <c r="P179" s="13" t="s">
        <v>531</v>
      </c>
      <c r="Q179" s="13">
        <v>128.14563852805901</v>
      </c>
      <c r="R179" s="13">
        <v>38.2899069650787</v>
      </c>
    </row>
    <row r="180" spans="1:18" x14ac:dyDescent="0.3">
      <c r="A180" t="s">
        <v>532</v>
      </c>
      <c r="B180" t="s">
        <v>817</v>
      </c>
      <c r="C180" t="s">
        <v>1290</v>
      </c>
      <c r="D180" t="s">
        <v>1291</v>
      </c>
      <c r="E180">
        <v>4.5999999999999996</v>
      </c>
      <c r="F180">
        <v>19</v>
      </c>
      <c r="G180">
        <v>95</v>
      </c>
      <c r="H180" s="13" t="s">
        <v>532</v>
      </c>
      <c r="I180" s="13" t="s">
        <v>850</v>
      </c>
      <c r="J180" s="13" t="s">
        <v>799</v>
      </c>
      <c r="K180" s="13" t="s">
        <v>800</v>
      </c>
      <c r="L180" s="13" t="s">
        <v>1765</v>
      </c>
      <c r="M180" s="13" t="s">
        <v>1292</v>
      </c>
      <c r="N180" s="13" t="s">
        <v>1290</v>
      </c>
      <c r="O180" s="13">
        <v>1571224337</v>
      </c>
      <c r="P180" s="13" t="s">
        <v>533</v>
      </c>
      <c r="Q180" s="13">
        <v>128.07402597687201</v>
      </c>
      <c r="R180" s="13">
        <v>38.1899607709043</v>
      </c>
    </row>
    <row r="181" spans="1:18" x14ac:dyDescent="0.3">
      <c r="A181" t="s">
        <v>534</v>
      </c>
      <c r="B181" t="s">
        <v>817</v>
      </c>
      <c r="C181" t="s">
        <v>1293</v>
      </c>
      <c r="D181" t="s">
        <v>1294</v>
      </c>
      <c r="E181">
        <v>5</v>
      </c>
      <c r="F181">
        <v>2</v>
      </c>
      <c r="G181">
        <v>15</v>
      </c>
      <c r="H181" s="13" t="s">
        <v>534</v>
      </c>
      <c r="I181" s="13" t="s">
        <v>810</v>
      </c>
      <c r="J181" s="13" t="s">
        <v>792</v>
      </c>
      <c r="K181" s="13" t="s">
        <v>793</v>
      </c>
      <c r="L181" s="13" t="s">
        <v>1764</v>
      </c>
      <c r="M181" s="13" t="s">
        <v>1295</v>
      </c>
      <c r="N181" s="13" t="s">
        <v>1293</v>
      </c>
      <c r="O181" s="13">
        <v>22893352</v>
      </c>
      <c r="P181" s="13" t="s">
        <v>535</v>
      </c>
      <c r="Q181" s="13">
        <v>127.98127235957</v>
      </c>
      <c r="R181" s="13">
        <v>38.121998130888002</v>
      </c>
    </row>
    <row r="182" spans="1:18" x14ac:dyDescent="0.3">
      <c r="A182" t="s">
        <v>130</v>
      </c>
      <c r="B182" t="s">
        <v>838</v>
      </c>
      <c r="C182" t="s">
        <v>1296</v>
      </c>
      <c r="D182" t="s">
        <v>1297</v>
      </c>
      <c r="E182">
        <v>3.5</v>
      </c>
      <c r="F182">
        <v>59</v>
      </c>
      <c r="G182">
        <v>83</v>
      </c>
      <c r="H182" s="13" t="s">
        <v>130</v>
      </c>
      <c r="I182" s="13" t="s">
        <v>864</v>
      </c>
      <c r="J182" s="13"/>
      <c r="K182" s="13"/>
      <c r="L182" s="13" t="s">
        <v>1763</v>
      </c>
      <c r="M182" s="13" t="s">
        <v>1298</v>
      </c>
      <c r="N182" s="13" t="s">
        <v>1296</v>
      </c>
      <c r="O182" s="13">
        <v>9250667</v>
      </c>
      <c r="P182" s="13" t="s">
        <v>536</v>
      </c>
      <c r="Q182" s="13">
        <v>128.623185400604</v>
      </c>
      <c r="R182" s="13">
        <v>38.075029337811301</v>
      </c>
    </row>
    <row r="183" spans="1:18" x14ac:dyDescent="0.3">
      <c r="A183" t="s">
        <v>537</v>
      </c>
      <c r="B183" t="s">
        <v>838</v>
      </c>
      <c r="C183" t="s">
        <v>1299</v>
      </c>
      <c r="D183" t="s">
        <v>840</v>
      </c>
      <c r="E183">
        <v>5</v>
      </c>
      <c r="F183">
        <v>1</v>
      </c>
      <c r="G183">
        <v>1</v>
      </c>
      <c r="H183" s="13" t="s">
        <v>537</v>
      </c>
      <c r="I183" s="13" t="s">
        <v>1031</v>
      </c>
      <c r="J183" s="13"/>
      <c r="K183" s="13"/>
      <c r="L183" s="13" t="s">
        <v>1762</v>
      </c>
      <c r="M183" s="13" t="s">
        <v>1300</v>
      </c>
      <c r="N183" s="13"/>
      <c r="O183" s="13">
        <v>7996898</v>
      </c>
      <c r="P183" s="13" t="s">
        <v>538</v>
      </c>
      <c r="Q183" s="13">
        <v>128.76391143943599</v>
      </c>
      <c r="R183" s="13">
        <v>37.945357858501502</v>
      </c>
    </row>
    <row r="184" spans="1:18" x14ac:dyDescent="0.3">
      <c r="A184" t="s">
        <v>539</v>
      </c>
      <c r="B184" t="s">
        <v>967</v>
      </c>
      <c r="C184" t="s">
        <v>1301</v>
      </c>
      <c r="D184" t="s">
        <v>1302</v>
      </c>
      <c r="E184">
        <v>4</v>
      </c>
      <c r="F184">
        <v>5</v>
      </c>
      <c r="G184">
        <v>11</v>
      </c>
      <c r="H184" s="13" t="s">
        <v>539</v>
      </c>
      <c r="I184" s="13" t="s">
        <v>1059</v>
      </c>
      <c r="J184" s="13" t="s">
        <v>799</v>
      </c>
      <c r="K184" s="13" t="s">
        <v>800</v>
      </c>
      <c r="L184" s="13" t="s">
        <v>1761</v>
      </c>
      <c r="M184" s="13"/>
      <c r="N184" s="13"/>
      <c r="O184" s="13">
        <v>7993554</v>
      </c>
      <c r="P184" s="13" t="s">
        <v>540</v>
      </c>
      <c r="Q184" s="13">
        <v>128.06940541609001</v>
      </c>
      <c r="R184" s="13">
        <v>37.584027998819501</v>
      </c>
    </row>
    <row r="185" spans="1:18" x14ac:dyDescent="0.3">
      <c r="A185" t="s">
        <v>541</v>
      </c>
      <c r="B185" t="s">
        <v>967</v>
      </c>
      <c r="D185" t="s">
        <v>1303</v>
      </c>
      <c r="E185">
        <v>5</v>
      </c>
      <c r="F185">
        <v>2</v>
      </c>
      <c r="G185">
        <v>3</v>
      </c>
      <c r="H185" s="13" t="s">
        <v>541</v>
      </c>
      <c r="I185" s="13" t="s">
        <v>1304</v>
      </c>
      <c r="J185" s="13" t="s">
        <v>799</v>
      </c>
      <c r="K185" s="13" t="s">
        <v>800</v>
      </c>
      <c r="L185" s="13" t="s">
        <v>1760</v>
      </c>
      <c r="M185" s="13"/>
      <c r="N185" s="13"/>
      <c r="O185" s="13">
        <v>1908467624</v>
      </c>
      <c r="P185" s="13" t="s">
        <v>542</v>
      </c>
      <c r="Q185" s="13">
        <v>128.057099012273</v>
      </c>
      <c r="R185" s="13">
        <v>37.592811434024</v>
      </c>
    </row>
    <row r="186" spans="1:18" x14ac:dyDescent="0.3">
      <c r="A186" t="s">
        <v>543</v>
      </c>
      <c r="B186" t="s">
        <v>941</v>
      </c>
      <c r="E186">
        <v>4.5</v>
      </c>
      <c r="F186">
        <v>2</v>
      </c>
      <c r="G186">
        <v>1</v>
      </c>
      <c r="H186" s="13" t="s">
        <v>544</v>
      </c>
      <c r="I186" s="13" t="s">
        <v>1171</v>
      </c>
      <c r="J186" s="13"/>
      <c r="K186" s="13"/>
      <c r="L186" s="13" t="s">
        <v>1759</v>
      </c>
      <c r="M186" s="13" t="s">
        <v>1305</v>
      </c>
      <c r="N186" s="13" t="s">
        <v>1306</v>
      </c>
      <c r="O186" s="13">
        <v>1923597801</v>
      </c>
      <c r="P186" s="13" t="s">
        <v>545</v>
      </c>
      <c r="Q186" s="13">
        <v>128.72246292691301</v>
      </c>
      <c r="R186" s="13">
        <v>37.4729970543275</v>
      </c>
    </row>
    <row r="187" spans="1:18" x14ac:dyDescent="0.3">
      <c r="A187" t="s">
        <v>546</v>
      </c>
      <c r="B187" t="s">
        <v>838</v>
      </c>
      <c r="C187" t="s">
        <v>1307</v>
      </c>
      <c r="D187" t="s">
        <v>840</v>
      </c>
      <c r="E187">
        <v>5</v>
      </c>
      <c r="F187">
        <v>3</v>
      </c>
      <c r="G187">
        <v>3</v>
      </c>
      <c r="H187" s="13" t="s">
        <v>546</v>
      </c>
      <c r="I187" s="13" t="s">
        <v>928</v>
      </c>
      <c r="J187" s="13" t="s">
        <v>799</v>
      </c>
      <c r="K187" s="13" t="s">
        <v>800</v>
      </c>
      <c r="L187" s="13" t="s">
        <v>1758</v>
      </c>
      <c r="M187" s="13"/>
      <c r="N187" s="13" t="s">
        <v>1307</v>
      </c>
      <c r="O187" s="13">
        <v>7994743</v>
      </c>
      <c r="P187" s="13" t="s">
        <v>547</v>
      </c>
      <c r="Q187" s="13">
        <v>128.64210095959399</v>
      </c>
      <c r="R187" s="13">
        <v>37.927155039099098</v>
      </c>
    </row>
    <row r="188" spans="1:18" x14ac:dyDescent="0.3">
      <c r="A188" t="s">
        <v>131</v>
      </c>
      <c r="B188" t="s">
        <v>955</v>
      </c>
      <c r="C188" t="s">
        <v>1308</v>
      </c>
      <c r="D188" t="s">
        <v>1309</v>
      </c>
      <c r="E188">
        <v>3.7</v>
      </c>
      <c r="F188">
        <v>15</v>
      </c>
      <c r="G188">
        <v>75</v>
      </c>
      <c r="H188" s="13" t="s">
        <v>131</v>
      </c>
      <c r="I188" s="13" t="s">
        <v>798</v>
      </c>
      <c r="J188" s="13" t="s">
        <v>799</v>
      </c>
      <c r="K188" s="13" t="s">
        <v>800</v>
      </c>
      <c r="L188" s="13" t="s">
        <v>1757</v>
      </c>
      <c r="M188" s="13" t="s">
        <v>1310</v>
      </c>
      <c r="N188" s="13" t="s">
        <v>1311</v>
      </c>
      <c r="O188" s="13">
        <v>27351432</v>
      </c>
      <c r="P188" s="13" t="s">
        <v>548</v>
      </c>
      <c r="Q188" s="13">
        <v>128.51738399595499</v>
      </c>
      <c r="R188" s="13">
        <v>38.205550522686899</v>
      </c>
    </row>
    <row r="189" spans="1:18" x14ac:dyDescent="0.3">
      <c r="A189" t="s">
        <v>132</v>
      </c>
      <c r="B189" t="s">
        <v>876</v>
      </c>
      <c r="C189" t="s">
        <v>1312</v>
      </c>
      <c r="D189" t="s">
        <v>1313</v>
      </c>
      <c r="E189">
        <v>3.5</v>
      </c>
      <c r="F189">
        <v>16</v>
      </c>
      <c r="G189">
        <v>223</v>
      </c>
      <c r="H189" s="13" t="s">
        <v>132</v>
      </c>
      <c r="I189" s="13" t="s">
        <v>1314</v>
      </c>
      <c r="J189" s="13"/>
      <c r="K189" s="13"/>
      <c r="L189" s="13" t="s">
        <v>1756</v>
      </c>
      <c r="M189" s="13" t="s">
        <v>1315</v>
      </c>
      <c r="N189" s="13" t="s">
        <v>1312</v>
      </c>
      <c r="O189" s="13">
        <v>25070174</v>
      </c>
      <c r="P189" s="13" t="s">
        <v>549</v>
      </c>
      <c r="Q189" s="13">
        <v>127.578574960756</v>
      </c>
      <c r="R189" s="13">
        <v>37.829949511280297</v>
      </c>
    </row>
    <row r="190" spans="1:18" x14ac:dyDescent="0.3">
      <c r="A190" t="s">
        <v>550</v>
      </c>
      <c r="B190" t="s">
        <v>876</v>
      </c>
      <c r="C190" t="s">
        <v>1312</v>
      </c>
      <c r="D190" t="s">
        <v>1313</v>
      </c>
      <c r="E190">
        <v>4</v>
      </c>
      <c r="F190">
        <v>1</v>
      </c>
      <c r="G190">
        <v>40</v>
      </c>
      <c r="H190" s="13" t="s">
        <v>550</v>
      </c>
      <c r="I190" s="13" t="s">
        <v>1316</v>
      </c>
      <c r="J190" s="13" t="s">
        <v>799</v>
      </c>
      <c r="K190" s="13" t="s">
        <v>800</v>
      </c>
      <c r="L190" s="13" t="s">
        <v>1756</v>
      </c>
      <c r="M190" s="13" t="s">
        <v>1315</v>
      </c>
      <c r="N190" s="13" t="s">
        <v>1317</v>
      </c>
      <c r="O190" s="13">
        <v>26325145</v>
      </c>
      <c r="P190" s="13" t="s">
        <v>551</v>
      </c>
      <c r="Q190" s="13">
        <v>127.588984844492</v>
      </c>
      <c r="R190" s="13">
        <v>37.8211533473809</v>
      </c>
    </row>
    <row r="191" spans="1:18" x14ac:dyDescent="0.3">
      <c r="A191" t="s">
        <v>552</v>
      </c>
      <c r="B191" t="s">
        <v>876</v>
      </c>
      <c r="C191" t="s">
        <v>1312</v>
      </c>
      <c r="D191" t="s">
        <v>1313</v>
      </c>
      <c r="E191">
        <v>3</v>
      </c>
      <c r="F191">
        <v>1</v>
      </c>
      <c r="G191">
        <v>30</v>
      </c>
      <c r="H191" s="13" t="s">
        <v>552</v>
      </c>
      <c r="I191" s="13" t="s">
        <v>907</v>
      </c>
      <c r="J191" s="13" t="s">
        <v>908</v>
      </c>
      <c r="K191" s="13" t="s">
        <v>909</v>
      </c>
      <c r="L191" s="13" t="s">
        <v>1756</v>
      </c>
      <c r="M191" s="13" t="s">
        <v>1315</v>
      </c>
      <c r="N191" s="13" t="s">
        <v>1318</v>
      </c>
      <c r="O191" s="13">
        <v>26900893</v>
      </c>
      <c r="P191" s="13" t="s">
        <v>553</v>
      </c>
      <c r="Q191" s="13">
        <v>127.589682146784</v>
      </c>
      <c r="R191" s="13">
        <v>37.8211462547157</v>
      </c>
    </row>
    <row r="192" spans="1:18" x14ac:dyDescent="0.3">
      <c r="A192" t="s">
        <v>554</v>
      </c>
      <c r="B192" t="s">
        <v>929</v>
      </c>
      <c r="C192" t="s">
        <v>1319</v>
      </c>
      <c r="E192">
        <v>5</v>
      </c>
      <c r="F192">
        <v>4</v>
      </c>
      <c r="G192">
        <v>17</v>
      </c>
      <c r="H192" s="13" t="s">
        <v>554</v>
      </c>
      <c r="I192" s="13" t="s">
        <v>989</v>
      </c>
      <c r="J192" s="13" t="s">
        <v>792</v>
      </c>
      <c r="K192" s="13" t="s">
        <v>793</v>
      </c>
      <c r="L192" s="13" t="s">
        <v>1755</v>
      </c>
      <c r="M192" s="13" t="s">
        <v>1320</v>
      </c>
      <c r="N192" s="13" t="s">
        <v>1319</v>
      </c>
      <c r="O192" s="13">
        <v>18604195</v>
      </c>
      <c r="P192" s="13" t="s">
        <v>555</v>
      </c>
      <c r="Q192" s="13">
        <v>128.31980854596901</v>
      </c>
      <c r="R192" s="13">
        <v>38.188952217531302</v>
      </c>
    </row>
    <row r="193" spans="1:18" x14ac:dyDescent="0.3">
      <c r="A193" t="s">
        <v>133</v>
      </c>
      <c r="B193" t="s">
        <v>894</v>
      </c>
      <c r="C193" t="s">
        <v>895</v>
      </c>
      <c r="E193">
        <v>2.5</v>
      </c>
      <c r="F193">
        <v>4</v>
      </c>
      <c r="G193">
        <v>13</v>
      </c>
      <c r="H193" s="13" t="s">
        <v>133</v>
      </c>
      <c r="I193" s="13" t="s">
        <v>1321</v>
      </c>
      <c r="J193" s="13"/>
      <c r="K193" s="13"/>
      <c r="L193" s="13" t="s">
        <v>1754</v>
      </c>
      <c r="M193" s="13"/>
      <c r="N193" s="13"/>
      <c r="O193" s="13">
        <v>1907965556</v>
      </c>
      <c r="P193" s="13" t="s">
        <v>556</v>
      </c>
      <c r="Q193" s="13">
        <v>128.99977852675701</v>
      </c>
      <c r="R193" s="13">
        <v>35.214023267815698</v>
      </c>
    </row>
    <row r="194" spans="1:18" x14ac:dyDescent="0.3">
      <c r="A194" t="s">
        <v>134</v>
      </c>
      <c r="B194" t="s">
        <v>1015</v>
      </c>
      <c r="C194" t="s">
        <v>1322</v>
      </c>
      <c r="D194" t="s">
        <v>1323</v>
      </c>
      <c r="E194">
        <v>3.2</v>
      </c>
      <c r="F194">
        <v>36</v>
      </c>
      <c r="G194">
        <v>129</v>
      </c>
      <c r="H194" s="13" t="s">
        <v>134</v>
      </c>
      <c r="I194" s="13" t="s">
        <v>810</v>
      </c>
      <c r="J194" s="13" t="s">
        <v>792</v>
      </c>
      <c r="K194" s="13" t="s">
        <v>793</v>
      </c>
      <c r="L194" s="13" t="s">
        <v>1753</v>
      </c>
      <c r="M194" s="13" t="s">
        <v>1324</v>
      </c>
      <c r="N194" s="13" t="s">
        <v>1322</v>
      </c>
      <c r="O194" s="13">
        <v>73062215</v>
      </c>
      <c r="P194" s="13" t="s">
        <v>557</v>
      </c>
      <c r="Q194" s="13">
        <v>129.10635268119799</v>
      </c>
      <c r="R194" s="13">
        <v>37.547505512316199</v>
      </c>
    </row>
    <row r="195" spans="1:18" x14ac:dyDescent="0.3">
      <c r="A195" t="s">
        <v>135</v>
      </c>
      <c r="B195" t="s">
        <v>955</v>
      </c>
      <c r="C195" t="s">
        <v>1186</v>
      </c>
      <c r="D195" t="s">
        <v>1325</v>
      </c>
      <c r="E195">
        <v>4.5999999999999996</v>
      </c>
      <c r="F195">
        <v>92</v>
      </c>
      <c r="G195">
        <v>239</v>
      </c>
      <c r="H195" s="13" t="s">
        <v>135</v>
      </c>
      <c r="I195" s="13" t="s">
        <v>1326</v>
      </c>
      <c r="J195" s="13" t="s">
        <v>799</v>
      </c>
      <c r="K195" s="13" t="s">
        <v>800</v>
      </c>
      <c r="L195" s="13" t="s">
        <v>1752</v>
      </c>
      <c r="M195" s="13"/>
      <c r="N195" s="13"/>
      <c r="O195" s="13">
        <v>8008145</v>
      </c>
      <c r="P195" s="13" t="s">
        <v>558</v>
      </c>
      <c r="Q195" s="13">
        <v>128.58020879143001</v>
      </c>
      <c r="R195" s="13">
        <v>38.217214944357799</v>
      </c>
    </row>
    <row r="196" spans="1:18" x14ac:dyDescent="0.3">
      <c r="A196" t="s">
        <v>136</v>
      </c>
      <c r="B196" t="s">
        <v>955</v>
      </c>
      <c r="C196" t="s">
        <v>1327</v>
      </c>
      <c r="D196" t="s">
        <v>1207</v>
      </c>
      <c r="E196">
        <v>4.5999999999999996</v>
      </c>
      <c r="F196">
        <v>39</v>
      </c>
      <c r="G196">
        <v>68</v>
      </c>
      <c r="H196" s="13" t="s">
        <v>136</v>
      </c>
      <c r="I196" s="13" t="s">
        <v>973</v>
      </c>
      <c r="J196" s="13" t="s">
        <v>799</v>
      </c>
      <c r="K196" s="13" t="s">
        <v>800</v>
      </c>
      <c r="L196" s="13" t="s">
        <v>1752</v>
      </c>
      <c r="M196" s="13"/>
      <c r="N196" s="13"/>
      <c r="O196" s="13">
        <v>1632792413</v>
      </c>
      <c r="P196" s="13" t="s">
        <v>559</v>
      </c>
      <c r="Q196" s="13">
        <v>128.57757011074199</v>
      </c>
      <c r="R196" s="13">
        <v>38.216899125064998</v>
      </c>
    </row>
    <row r="197" spans="1:18" x14ac:dyDescent="0.3">
      <c r="A197" t="s">
        <v>137</v>
      </c>
      <c r="B197" t="s">
        <v>980</v>
      </c>
      <c r="C197" t="s">
        <v>1047</v>
      </c>
      <c r="D197" t="s">
        <v>1328</v>
      </c>
      <c r="E197">
        <v>4.3</v>
      </c>
      <c r="F197">
        <v>73</v>
      </c>
      <c r="G197">
        <v>105</v>
      </c>
      <c r="H197" s="13" t="s">
        <v>137</v>
      </c>
      <c r="I197" s="13" t="s">
        <v>940</v>
      </c>
      <c r="J197" s="13"/>
      <c r="K197" s="13"/>
      <c r="L197" s="13" t="s">
        <v>1751</v>
      </c>
      <c r="M197" s="13"/>
      <c r="N197" s="13" t="s">
        <v>1329</v>
      </c>
      <c r="O197" s="13">
        <v>13622072</v>
      </c>
      <c r="P197" s="13" t="s">
        <v>560</v>
      </c>
      <c r="Q197" s="13">
        <v>128.53289030335199</v>
      </c>
      <c r="R197" s="13">
        <v>37.129407447980903</v>
      </c>
    </row>
    <row r="198" spans="1:18" x14ac:dyDescent="0.3">
      <c r="A198" t="s">
        <v>138</v>
      </c>
      <c r="B198" t="s">
        <v>980</v>
      </c>
      <c r="C198" t="s">
        <v>1330</v>
      </c>
      <c r="D198" t="s">
        <v>1199</v>
      </c>
      <c r="E198">
        <v>4.3</v>
      </c>
      <c r="F198">
        <v>21</v>
      </c>
      <c r="G198">
        <v>265</v>
      </c>
      <c r="H198" s="13" t="s">
        <v>138</v>
      </c>
      <c r="I198" s="13" t="s">
        <v>1184</v>
      </c>
      <c r="J198" s="13"/>
      <c r="K198" s="13"/>
      <c r="L198" s="13" t="s">
        <v>1750</v>
      </c>
      <c r="M198" s="13" t="s">
        <v>1331</v>
      </c>
      <c r="N198" s="13" t="s">
        <v>1330</v>
      </c>
      <c r="O198" s="13">
        <v>401241687</v>
      </c>
      <c r="P198" s="13" t="s">
        <v>561</v>
      </c>
      <c r="Q198" s="13">
        <v>128.44637147106499</v>
      </c>
      <c r="R198" s="13">
        <v>37.179728932308201</v>
      </c>
    </row>
    <row r="199" spans="1:18" x14ac:dyDescent="0.3">
      <c r="A199" t="s">
        <v>139</v>
      </c>
      <c r="B199" t="s">
        <v>980</v>
      </c>
      <c r="C199" t="s">
        <v>1332</v>
      </c>
      <c r="D199" t="s">
        <v>1199</v>
      </c>
      <c r="E199">
        <v>5</v>
      </c>
      <c r="F199">
        <v>1328</v>
      </c>
      <c r="G199">
        <v>250</v>
      </c>
      <c r="H199" s="13" t="s">
        <v>160</v>
      </c>
      <c r="I199" s="13" t="s">
        <v>1333</v>
      </c>
      <c r="J199" s="13"/>
      <c r="K199" s="13"/>
      <c r="L199" s="13" t="s">
        <v>1749</v>
      </c>
      <c r="M199" s="13" t="s">
        <v>1334</v>
      </c>
      <c r="N199" s="13" t="s">
        <v>1332</v>
      </c>
      <c r="O199" s="13">
        <v>8540103</v>
      </c>
      <c r="P199" s="13" t="s">
        <v>562</v>
      </c>
      <c r="Q199" s="13">
        <v>128.45278548990399</v>
      </c>
      <c r="R199" s="13">
        <v>37.197376229261302</v>
      </c>
    </row>
    <row r="200" spans="1:18" x14ac:dyDescent="0.3">
      <c r="A200" t="s">
        <v>140</v>
      </c>
      <c r="B200" t="s">
        <v>980</v>
      </c>
      <c r="C200" t="s">
        <v>1335</v>
      </c>
      <c r="D200" t="s">
        <v>1336</v>
      </c>
      <c r="E200">
        <v>2.9</v>
      </c>
      <c r="F200">
        <v>14</v>
      </c>
      <c r="G200">
        <v>3</v>
      </c>
      <c r="H200" s="13" t="s">
        <v>140</v>
      </c>
      <c r="I200" s="13" t="s">
        <v>1337</v>
      </c>
      <c r="J200" s="13"/>
      <c r="K200" s="13"/>
      <c r="L200" s="13" t="s">
        <v>1748</v>
      </c>
      <c r="M200" s="13" t="s">
        <v>1338</v>
      </c>
      <c r="N200" s="13" t="s">
        <v>1339</v>
      </c>
      <c r="O200" s="13">
        <v>1782067734</v>
      </c>
      <c r="P200" s="13" t="s">
        <v>563</v>
      </c>
      <c r="Q200" s="13">
        <v>128.46835136302701</v>
      </c>
      <c r="R200" s="13">
        <v>37.179975694708403</v>
      </c>
    </row>
    <row r="201" spans="1:18" x14ac:dyDescent="0.3">
      <c r="A201" t="s">
        <v>141</v>
      </c>
      <c r="B201" t="s">
        <v>838</v>
      </c>
      <c r="C201" t="s">
        <v>1340</v>
      </c>
      <c r="D201" t="s">
        <v>1341</v>
      </c>
      <c r="E201">
        <v>3.9</v>
      </c>
      <c r="F201">
        <v>21</v>
      </c>
      <c r="G201">
        <v>321</v>
      </c>
      <c r="H201" s="13" t="s">
        <v>141</v>
      </c>
      <c r="I201" s="13" t="s">
        <v>810</v>
      </c>
      <c r="J201" s="13" t="s">
        <v>792</v>
      </c>
      <c r="K201" s="13" t="s">
        <v>793</v>
      </c>
      <c r="L201" s="13" t="s">
        <v>1747</v>
      </c>
      <c r="M201" s="13" t="s">
        <v>1342</v>
      </c>
      <c r="N201" s="13" t="s">
        <v>1340</v>
      </c>
      <c r="O201" s="13">
        <v>8014870</v>
      </c>
      <c r="P201" s="13" t="s">
        <v>564</v>
      </c>
      <c r="Q201" s="13">
        <v>128.66052456858901</v>
      </c>
      <c r="R201" s="13">
        <v>38.085998521880498</v>
      </c>
    </row>
    <row r="202" spans="1:18" x14ac:dyDescent="0.3">
      <c r="A202" t="s">
        <v>142</v>
      </c>
      <c r="B202" t="s">
        <v>838</v>
      </c>
      <c r="C202" t="s">
        <v>1343</v>
      </c>
      <c r="D202" t="s">
        <v>1204</v>
      </c>
      <c r="E202">
        <v>3.9</v>
      </c>
      <c r="F202">
        <v>60</v>
      </c>
      <c r="G202">
        <v>66</v>
      </c>
      <c r="H202" s="13" t="s">
        <v>142</v>
      </c>
      <c r="I202" s="13" t="s">
        <v>841</v>
      </c>
      <c r="J202" s="13"/>
      <c r="K202" s="13"/>
      <c r="L202" s="13" t="s">
        <v>1746</v>
      </c>
      <c r="M202" s="13" t="s">
        <v>1344</v>
      </c>
      <c r="N202" s="13"/>
      <c r="O202" s="13">
        <v>25035251</v>
      </c>
      <c r="P202" s="13" t="s">
        <v>565</v>
      </c>
      <c r="Q202" s="13">
        <v>128.44572478655601</v>
      </c>
      <c r="R202" s="13">
        <v>38.077656672038898</v>
      </c>
    </row>
    <row r="203" spans="1:18" x14ac:dyDescent="0.3">
      <c r="A203" t="s">
        <v>143</v>
      </c>
      <c r="B203" t="s">
        <v>838</v>
      </c>
      <c r="C203" t="s">
        <v>1343</v>
      </c>
      <c r="D203" t="s">
        <v>1204</v>
      </c>
      <c r="E203">
        <v>4.7</v>
      </c>
      <c r="F203">
        <v>31</v>
      </c>
      <c r="G203">
        <v>1</v>
      </c>
      <c r="H203" s="13" t="s">
        <v>566</v>
      </c>
      <c r="I203" s="13" t="s">
        <v>928</v>
      </c>
      <c r="J203" s="13" t="s">
        <v>799</v>
      </c>
      <c r="K203" s="13" t="s">
        <v>800</v>
      </c>
      <c r="L203" s="13" t="s">
        <v>1745</v>
      </c>
      <c r="M203" s="13"/>
      <c r="N203" s="13"/>
      <c r="O203" s="13">
        <v>8090013</v>
      </c>
      <c r="P203" s="13" t="s">
        <v>567</v>
      </c>
      <c r="Q203" s="13">
        <v>128.42821424528501</v>
      </c>
      <c r="R203" s="13">
        <v>38.082526399831799</v>
      </c>
    </row>
    <row r="204" spans="1:18" x14ac:dyDescent="0.3">
      <c r="A204" t="s">
        <v>144</v>
      </c>
      <c r="B204" t="s">
        <v>803</v>
      </c>
      <c r="C204" t="s">
        <v>1345</v>
      </c>
      <c r="D204" t="s">
        <v>1346</v>
      </c>
      <c r="E204">
        <v>4.4000000000000004</v>
      </c>
      <c r="F204">
        <v>259</v>
      </c>
      <c r="G204">
        <v>772</v>
      </c>
      <c r="H204" s="13" t="s">
        <v>144</v>
      </c>
      <c r="I204" s="13" t="s">
        <v>874</v>
      </c>
      <c r="J204" s="13"/>
      <c r="K204" s="13"/>
      <c r="L204" s="13" t="s">
        <v>1744</v>
      </c>
      <c r="M204" s="13" t="s">
        <v>1347</v>
      </c>
      <c r="N204" s="13" t="s">
        <v>1345</v>
      </c>
      <c r="O204" s="13">
        <v>25323416</v>
      </c>
      <c r="P204" s="13" t="s">
        <v>568</v>
      </c>
      <c r="Q204" s="13">
        <v>128.87754314425499</v>
      </c>
      <c r="R204" s="13">
        <v>37.7792478395694</v>
      </c>
    </row>
    <row r="205" spans="1:18" x14ac:dyDescent="0.3">
      <c r="A205" t="s">
        <v>569</v>
      </c>
      <c r="B205" t="s">
        <v>807</v>
      </c>
      <c r="C205" t="s">
        <v>1348</v>
      </c>
      <c r="D205" t="s">
        <v>1349</v>
      </c>
      <c r="E205">
        <v>3.8</v>
      </c>
      <c r="F205">
        <v>6</v>
      </c>
      <c r="G205">
        <v>19</v>
      </c>
      <c r="H205" s="13" t="s">
        <v>569</v>
      </c>
      <c r="I205" s="13" t="s">
        <v>798</v>
      </c>
      <c r="J205" s="13" t="s">
        <v>799</v>
      </c>
      <c r="K205" s="13" t="s">
        <v>800</v>
      </c>
      <c r="L205" s="13" t="s">
        <v>1743</v>
      </c>
      <c r="M205" s="13" t="s">
        <v>1350</v>
      </c>
      <c r="N205" s="13" t="s">
        <v>1348</v>
      </c>
      <c r="O205" s="13">
        <v>289351382</v>
      </c>
      <c r="P205" s="13" t="s">
        <v>570</v>
      </c>
      <c r="Q205" s="13">
        <v>128.526338354416</v>
      </c>
      <c r="R205" s="13">
        <v>38.324089583558198</v>
      </c>
    </row>
    <row r="206" spans="1:18" x14ac:dyDescent="0.3">
      <c r="A206" t="s">
        <v>145</v>
      </c>
      <c r="B206" t="s">
        <v>807</v>
      </c>
      <c r="C206" t="s">
        <v>1351</v>
      </c>
      <c r="D206" t="s">
        <v>1352</v>
      </c>
      <c r="E206">
        <v>4.2</v>
      </c>
      <c r="F206">
        <v>44</v>
      </c>
      <c r="G206">
        <v>80</v>
      </c>
      <c r="H206" s="13" t="s">
        <v>571</v>
      </c>
      <c r="I206" s="13" t="s">
        <v>829</v>
      </c>
      <c r="J206" s="13"/>
      <c r="K206" s="13"/>
      <c r="L206" s="13" t="s">
        <v>1742</v>
      </c>
      <c r="M206" s="13"/>
      <c r="N206" s="13" t="s">
        <v>1351</v>
      </c>
      <c r="O206" s="13">
        <v>8012189</v>
      </c>
      <c r="P206" s="13" t="s">
        <v>572</v>
      </c>
      <c r="Q206" s="13">
        <v>128.499815766842</v>
      </c>
      <c r="R206" s="13">
        <v>38.3413723827721</v>
      </c>
    </row>
    <row r="207" spans="1:18" x14ac:dyDescent="0.3">
      <c r="A207" t="s">
        <v>573</v>
      </c>
      <c r="B207" t="s">
        <v>955</v>
      </c>
      <c r="C207" t="s">
        <v>1353</v>
      </c>
      <c r="D207" t="s">
        <v>1207</v>
      </c>
      <c r="E207">
        <v>4.5</v>
      </c>
      <c r="F207">
        <v>73</v>
      </c>
      <c r="G207">
        <v>73</v>
      </c>
      <c r="H207" s="13" t="s">
        <v>574</v>
      </c>
      <c r="I207" s="13" t="s">
        <v>973</v>
      </c>
      <c r="J207" s="13" t="s">
        <v>799</v>
      </c>
      <c r="K207" s="13" t="s">
        <v>800</v>
      </c>
      <c r="L207" s="13" t="s">
        <v>1741</v>
      </c>
      <c r="M207" s="13"/>
      <c r="N207" s="13" t="s">
        <v>1353</v>
      </c>
      <c r="O207" s="13">
        <v>1970947390</v>
      </c>
      <c r="P207" s="13" t="s">
        <v>575</v>
      </c>
      <c r="Q207" s="13">
        <v>128.60944258765301</v>
      </c>
      <c r="R207" s="13">
        <v>38.182904728447198</v>
      </c>
    </row>
    <row r="208" spans="1:18" x14ac:dyDescent="0.3">
      <c r="A208" t="s">
        <v>146</v>
      </c>
      <c r="B208" t="s">
        <v>980</v>
      </c>
      <c r="C208" t="s">
        <v>1354</v>
      </c>
      <c r="D208" t="s">
        <v>982</v>
      </c>
      <c r="E208">
        <v>4</v>
      </c>
      <c r="F208">
        <v>39</v>
      </c>
      <c r="G208">
        <v>66</v>
      </c>
      <c r="H208" s="13" t="s">
        <v>146</v>
      </c>
      <c r="I208" s="13" t="s">
        <v>845</v>
      </c>
      <c r="J208" s="13"/>
      <c r="K208" s="13"/>
      <c r="L208" s="13" t="s">
        <v>1740</v>
      </c>
      <c r="M208" s="13"/>
      <c r="N208" s="13"/>
      <c r="O208" s="13">
        <v>1822049240</v>
      </c>
      <c r="P208" s="13" t="s">
        <v>576</v>
      </c>
      <c r="Q208" s="13">
        <v>128.260858680902</v>
      </c>
      <c r="R208" s="13">
        <v>37.297091152429502</v>
      </c>
    </row>
    <row r="209" spans="1:18" x14ac:dyDescent="0.3">
      <c r="A209" t="s">
        <v>147</v>
      </c>
      <c r="B209" t="s">
        <v>980</v>
      </c>
      <c r="C209" t="s">
        <v>1354</v>
      </c>
      <c r="D209" t="s">
        <v>982</v>
      </c>
      <c r="E209">
        <v>4.2</v>
      </c>
      <c r="F209">
        <v>16</v>
      </c>
      <c r="G209">
        <v>20</v>
      </c>
      <c r="H209" s="13" t="s">
        <v>147</v>
      </c>
      <c r="I209" s="13" t="s">
        <v>845</v>
      </c>
      <c r="J209" s="13"/>
      <c r="K209" s="13"/>
      <c r="L209" s="13" t="s">
        <v>1739</v>
      </c>
      <c r="M209" s="13" t="s">
        <v>1355</v>
      </c>
      <c r="N209" s="13"/>
      <c r="O209" s="13">
        <v>8014454</v>
      </c>
      <c r="P209" s="13" t="s">
        <v>577</v>
      </c>
      <c r="Q209" s="13">
        <v>128.26031901875501</v>
      </c>
      <c r="R209" s="13">
        <v>37.298407824921703</v>
      </c>
    </row>
    <row r="210" spans="1:18" x14ac:dyDescent="0.3">
      <c r="A210" t="s">
        <v>148</v>
      </c>
      <c r="B210" t="s">
        <v>929</v>
      </c>
      <c r="C210" t="s">
        <v>1356</v>
      </c>
      <c r="D210" t="s">
        <v>1357</v>
      </c>
      <c r="E210">
        <v>3.5</v>
      </c>
      <c r="F210">
        <v>14</v>
      </c>
      <c r="G210">
        <v>3</v>
      </c>
      <c r="H210" s="13" t="s">
        <v>578</v>
      </c>
      <c r="I210" s="13" t="s">
        <v>944</v>
      </c>
      <c r="J210" s="13" t="s">
        <v>799</v>
      </c>
      <c r="K210" s="13" t="s">
        <v>800</v>
      </c>
      <c r="L210" s="13" t="s">
        <v>1738</v>
      </c>
      <c r="M210" s="13" t="s">
        <v>1358</v>
      </c>
      <c r="N210" s="13" t="s">
        <v>1356</v>
      </c>
      <c r="O210" s="13">
        <v>25618250</v>
      </c>
      <c r="P210" s="13" t="s">
        <v>579</v>
      </c>
      <c r="Q210" s="13">
        <v>128.36463477247901</v>
      </c>
      <c r="R210" s="13">
        <v>38.231582581391002</v>
      </c>
    </row>
    <row r="211" spans="1:18" x14ac:dyDescent="0.3">
      <c r="A211" t="s">
        <v>149</v>
      </c>
      <c r="B211" t="s">
        <v>822</v>
      </c>
      <c r="C211" t="s">
        <v>1359</v>
      </c>
      <c r="D211" t="s">
        <v>824</v>
      </c>
      <c r="E211">
        <v>3.9</v>
      </c>
      <c r="F211">
        <v>7</v>
      </c>
      <c r="G211">
        <v>15</v>
      </c>
      <c r="H211" s="13" t="s">
        <v>149</v>
      </c>
      <c r="I211" s="13" t="s">
        <v>928</v>
      </c>
      <c r="J211" s="13" t="s">
        <v>799</v>
      </c>
      <c r="K211" s="13" t="s">
        <v>800</v>
      </c>
      <c r="L211" s="13" t="s">
        <v>1737</v>
      </c>
      <c r="M211" s="13"/>
      <c r="N211" s="13"/>
      <c r="O211" s="13">
        <v>8022938</v>
      </c>
      <c r="P211" s="13" t="s">
        <v>580</v>
      </c>
      <c r="Q211" s="13">
        <v>128.12947454687699</v>
      </c>
      <c r="R211" s="13">
        <v>37.8675433999136</v>
      </c>
    </row>
    <row r="212" spans="1:18" x14ac:dyDescent="0.3">
      <c r="A212" t="s">
        <v>150</v>
      </c>
      <c r="B212" t="s">
        <v>832</v>
      </c>
      <c r="C212" t="s">
        <v>1360</v>
      </c>
      <c r="D212" t="s">
        <v>1117</v>
      </c>
      <c r="E212">
        <v>4.7</v>
      </c>
      <c r="F212">
        <v>22</v>
      </c>
      <c r="G212">
        <v>102</v>
      </c>
      <c r="H212" s="13" t="s">
        <v>581</v>
      </c>
      <c r="I212" s="13" t="s">
        <v>1361</v>
      </c>
      <c r="J212" s="13"/>
      <c r="K212" s="13"/>
      <c r="L212" s="13" t="s">
        <v>1736</v>
      </c>
      <c r="M212" s="13" t="s">
        <v>1362</v>
      </c>
      <c r="N212" s="13" t="s">
        <v>1360</v>
      </c>
      <c r="O212" s="13">
        <v>11188641</v>
      </c>
      <c r="P212" s="13" t="s">
        <v>582</v>
      </c>
      <c r="Q212" s="13">
        <v>128.08786711260501</v>
      </c>
      <c r="R212" s="13">
        <v>37.212426319126003</v>
      </c>
    </row>
    <row r="213" spans="1:18" x14ac:dyDescent="0.3">
      <c r="A213" t="s">
        <v>151</v>
      </c>
      <c r="B213" t="s">
        <v>795</v>
      </c>
      <c r="C213" t="s">
        <v>1363</v>
      </c>
      <c r="D213" t="s">
        <v>939</v>
      </c>
      <c r="E213">
        <v>4.4000000000000004</v>
      </c>
      <c r="F213">
        <v>52</v>
      </c>
      <c r="G213">
        <v>216</v>
      </c>
      <c r="H213" s="13" t="s">
        <v>151</v>
      </c>
      <c r="I213" s="13" t="s">
        <v>940</v>
      </c>
      <c r="J213" s="13"/>
      <c r="K213" s="13"/>
      <c r="L213" s="13" t="s">
        <v>1735</v>
      </c>
      <c r="M213" s="13" t="s">
        <v>1364</v>
      </c>
      <c r="N213" s="13"/>
      <c r="O213" s="13">
        <v>8466942</v>
      </c>
      <c r="P213" s="13" t="s">
        <v>583</v>
      </c>
      <c r="Q213" s="13">
        <v>128.94183885350901</v>
      </c>
      <c r="R213" s="13">
        <v>37.208929241327901</v>
      </c>
    </row>
    <row r="214" spans="1:18" x14ac:dyDescent="0.3">
      <c r="A214" t="s">
        <v>584</v>
      </c>
      <c r="B214" t="s">
        <v>894</v>
      </c>
      <c r="C214" t="s">
        <v>895</v>
      </c>
      <c r="E214">
        <v>4.0999999999999996</v>
      </c>
      <c r="F214">
        <v>35</v>
      </c>
      <c r="G214">
        <v>43</v>
      </c>
      <c r="H214" s="13" t="s">
        <v>584</v>
      </c>
      <c r="I214" s="13" t="s">
        <v>1059</v>
      </c>
      <c r="J214" s="13" t="s">
        <v>799</v>
      </c>
      <c r="K214" s="13" t="s">
        <v>800</v>
      </c>
      <c r="L214" s="13" t="s">
        <v>1734</v>
      </c>
      <c r="M214" s="13"/>
      <c r="N214" s="13"/>
      <c r="O214" s="13">
        <v>15167992</v>
      </c>
      <c r="P214" s="13" t="s">
        <v>585</v>
      </c>
      <c r="Q214" s="13">
        <v>127.747991365643</v>
      </c>
      <c r="R214" s="13">
        <v>38.038180197370799</v>
      </c>
    </row>
    <row r="215" spans="1:18" x14ac:dyDescent="0.3">
      <c r="A215" t="s">
        <v>152</v>
      </c>
      <c r="B215" t="s">
        <v>929</v>
      </c>
      <c r="C215" t="s">
        <v>1365</v>
      </c>
      <c r="E215">
        <v>4.2</v>
      </c>
      <c r="F215">
        <v>145</v>
      </c>
      <c r="G215">
        <v>82</v>
      </c>
      <c r="H215" s="13" t="s">
        <v>152</v>
      </c>
      <c r="I215" s="13" t="s">
        <v>934</v>
      </c>
      <c r="J215" s="13" t="s">
        <v>799</v>
      </c>
      <c r="K215" s="13" t="s">
        <v>800</v>
      </c>
      <c r="L215" s="13" t="s">
        <v>1733</v>
      </c>
      <c r="M215" s="13"/>
      <c r="N215" s="13"/>
      <c r="O215" s="13">
        <v>27301455</v>
      </c>
      <c r="P215" s="13" t="s">
        <v>586</v>
      </c>
      <c r="Q215" s="13">
        <v>128.19898760827999</v>
      </c>
      <c r="R215" s="13">
        <v>37.988190793167597</v>
      </c>
    </row>
    <row r="216" spans="1:18" x14ac:dyDescent="0.3">
      <c r="A216" t="s">
        <v>587</v>
      </c>
      <c r="B216" t="s">
        <v>894</v>
      </c>
      <c r="C216" t="s">
        <v>1366</v>
      </c>
      <c r="D216" t="s">
        <v>1367</v>
      </c>
      <c r="E216">
        <v>0</v>
      </c>
      <c r="F216">
        <v>0</v>
      </c>
      <c r="G216">
        <v>4</v>
      </c>
      <c r="H216" s="13" t="s">
        <v>587</v>
      </c>
      <c r="I216" s="13" t="s">
        <v>1184</v>
      </c>
      <c r="J216" s="13"/>
      <c r="K216" s="13"/>
      <c r="L216" s="13" t="s">
        <v>1732</v>
      </c>
      <c r="M216" s="13" t="s">
        <v>1368</v>
      </c>
      <c r="N216" s="13" t="s">
        <v>1366</v>
      </c>
      <c r="O216" s="13">
        <v>10380118</v>
      </c>
      <c r="P216" s="13" t="s">
        <v>588</v>
      </c>
      <c r="Q216" s="13">
        <v>127.83491052127199</v>
      </c>
      <c r="R216" s="13">
        <v>38.055273382468897</v>
      </c>
    </row>
    <row r="217" spans="1:18" x14ac:dyDescent="0.3">
      <c r="A217" t="s">
        <v>589</v>
      </c>
      <c r="B217" t="s">
        <v>788</v>
      </c>
      <c r="C217" t="s">
        <v>1369</v>
      </c>
      <c r="D217" t="s">
        <v>1370</v>
      </c>
      <c r="E217">
        <v>4</v>
      </c>
      <c r="F217">
        <v>19</v>
      </c>
      <c r="G217">
        <v>83</v>
      </c>
      <c r="H217" s="13" t="s">
        <v>589</v>
      </c>
      <c r="I217" s="13" t="s">
        <v>810</v>
      </c>
      <c r="J217" s="13" t="s">
        <v>792</v>
      </c>
      <c r="K217" s="13" t="s">
        <v>793</v>
      </c>
      <c r="L217" s="13" t="s">
        <v>1731</v>
      </c>
      <c r="M217" s="13" t="s">
        <v>1371</v>
      </c>
      <c r="N217" s="13" t="s">
        <v>1369</v>
      </c>
      <c r="O217" s="13">
        <v>11177742</v>
      </c>
      <c r="P217" s="13" t="s">
        <v>590</v>
      </c>
      <c r="Q217" s="13">
        <v>128.60289169219899</v>
      </c>
      <c r="R217" s="13">
        <v>37.718845659891997</v>
      </c>
    </row>
    <row r="218" spans="1:18" x14ac:dyDescent="0.3">
      <c r="A218" t="s">
        <v>153</v>
      </c>
      <c r="B218" t="s">
        <v>788</v>
      </c>
      <c r="C218" t="s">
        <v>1372</v>
      </c>
      <c r="D218" t="s">
        <v>1373</v>
      </c>
      <c r="E218">
        <v>4.5</v>
      </c>
      <c r="F218">
        <v>101</v>
      </c>
      <c r="G218">
        <v>222</v>
      </c>
      <c r="H218" s="13" t="s">
        <v>591</v>
      </c>
      <c r="I218" s="13" t="s">
        <v>973</v>
      </c>
      <c r="J218" s="13" t="s">
        <v>799</v>
      </c>
      <c r="K218" s="13" t="s">
        <v>800</v>
      </c>
      <c r="L218" s="13" t="s">
        <v>1730</v>
      </c>
      <c r="M218" s="13"/>
      <c r="N218" s="13"/>
      <c r="O218" s="13">
        <v>24759651</v>
      </c>
      <c r="P218" s="13" t="s">
        <v>592</v>
      </c>
      <c r="Q218" s="13">
        <v>128.59588468442999</v>
      </c>
      <c r="R218" s="13">
        <v>37.7284396535767</v>
      </c>
    </row>
    <row r="219" spans="1:18" x14ac:dyDescent="0.3">
      <c r="A219" t="s">
        <v>154</v>
      </c>
      <c r="B219" t="s">
        <v>967</v>
      </c>
      <c r="C219" t="s">
        <v>1374</v>
      </c>
      <c r="D219" t="s">
        <v>1375</v>
      </c>
      <c r="E219">
        <v>3.5</v>
      </c>
      <c r="F219">
        <v>212</v>
      </c>
      <c r="G219">
        <v>617</v>
      </c>
      <c r="H219" s="13" t="s">
        <v>154</v>
      </c>
      <c r="I219" s="13" t="s">
        <v>1376</v>
      </c>
      <c r="J219" s="13" t="s">
        <v>908</v>
      </c>
      <c r="K219" s="13" t="s">
        <v>909</v>
      </c>
      <c r="L219" s="13" t="s">
        <v>1729</v>
      </c>
      <c r="M219" s="13" t="s">
        <v>1377</v>
      </c>
      <c r="N219" s="13" t="s">
        <v>1374</v>
      </c>
      <c r="O219" s="13">
        <v>18661839</v>
      </c>
      <c r="P219" s="13" t="s">
        <v>593</v>
      </c>
      <c r="Q219" s="13">
        <v>128.250564270555</v>
      </c>
      <c r="R219" s="13">
        <v>37.490505233996402</v>
      </c>
    </row>
    <row r="220" spans="1:18" x14ac:dyDescent="0.3">
      <c r="A220" t="s">
        <v>594</v>
      </c>
      <c r="B220" t="s">
        <v>967</v>
      </c>
      <c r="C220" t="s">
        <v>1378</v>
      </c>
      <c r="D220" t="s">
        <v>1302</v>
      </c>
      <c r="E220">
        <v>4.7</v>
      </c>
      <c r="F220">
        <v>3</v>
      </c>
      <c r="G220">
        <v>3</v>
      </c>
      <c r="H220" s="13" t="s">
        <v>594</v>
      </c>
      <c r="I220" s="13" t="s">
        <v>989</v>
      </c>
      <c r="J220" s="13" t="s">
        <v>792</v>
      </c>
      <c r="K220" s="13" t="s">
        <v>793</v>
      </c>
      <c r="L220" s="13" t="s">
        <v>1728</v>
      </c>
      <c r="M220" s="13" t="s">
        <v>1379</v>
      </c>
      <c r="N220" s="13"/>
      <c r="O220" s="13">
        <v>25972186</v>
      </c>
      <c r="P220" s="13" t="s">
        <v>595</v>
      </c>
      <c r="Q220" s="13">
        <v>127.81992021967601</v>
      </c>
      <c r="R220" s="13">
        <v>37.530659072501201</v>
      </c>
    </row>
    <row r="221" spans="1:18" x14ac:dyDescent="0.3">
      <c r="A221" t="s">
        <v>596</v>
      </c>
      <c r="B221" t="s">
        <v>807</v>
      </c>
      <c r="C221" t="s">
        <v>927</v>
      </c>
      <c r="D221" t="s">
        <v>898</v>
      </c>
      <c r="E221">
        <v>3.1</v>
      </c>
      <c r="F221">
        <v>14</v>
      </c>
      <c r="G221">
        <v>2</v>
      </c>
      <c r="H221" s="13" t="s">
        <v>597</v>
      </c>
      <c r="I221" s="13" t="s">
        <v>989</v>
      </c>
      <c r="J221" s="13" t="s">
        <v>792</v>
      </c>
      <c r="K221" s="13" t="s">
        <v>793</v>
      </c>
      <c r="L221" s="13" t="s">
        <v>1727</v>
      </c>
      <c r="M221" s="13" t="s">
        <v>1380</v>
      </c>
      <c r="N221" s="13" t="s">
        <v>990</v>
      </c>
      <c r="O221" s="13">
        <v>10657556</v>
      </c>
      <c r="P221" s="13" t="s">
        <v>598</v>
      </c>
      <c r="Q221" s="13">
        <v>128.44228004814099</v>
      </c>
      <c r="R221" s="13">
        <v>38.473497707651703</v>
      </c>
    </row>
    <row r="222" spans="1:18" x14ac:dyDescent="0.3">
      <c r="A222" t="s">
        <v>155</v>
      </c>
      <c r="B222" t="s">
        <v>885</v>
      </c>
      <c r="C222" t="s">
        <v>1169</v>
      </c>
      <c r="D222" t="s">
        <v>1170</v>
      </c>
      <c r="E222">
        <v>4.2</v>
      </c>
      <c r="F222">
        <v>20</v>
      </c>
      <c r="G222">
        <v>62</v>
      </c>
      <c r="H222" s="13" t="s">
        <v>155</v>
      </c>
      <c r="I222" s="13" t="s">
        <v>882</v>
      </c>
      <c r="J222" s="13"/>
      <c r="K222" s="13"/>
      <c r="L222" s="13" t="s">
        <v>1726</v>
      </c>
      <c r="M222" s="13" t="s">
        <v>1172</v>
      </c>
      <c r="N222" s="13"/>
      <c r="O222" s="13">
        <v>24051055</v>
      </c>
      <c r="P222" s="13" t="s">
        <v>599</v>
      </c>
      <c r="Q222" s="13">
        <v>129.15948399604</v>
      </c>
      <c r="R222" s="13">
        <v>37.475170189186898</v>
      </c>
    </row>
    <row r="223" spans="1:18" x14ac:dyDescent="0.3">
      <c r="A223" t="s">
        <v>156</v>
      </c>
      <c r="B223" t="s">
        <v>788</v>
      </c>
      <c r="C223" t="s">
        <v>1381</v>
      </c>
      <c r="D223" t="s">
        <v>1382</v>
      </c>
      <c r="E223">
        <v>4.0999999999999996</v>
      </c>
      <c r="F223">
        <v>20</v>
      </c>
      <c r="G223">
        <v>132</v>
      </c>
      <c r="H223" s="13" t="s">
        <v>156</v>
      </c>
      <c r="I223" s="13" t="s">
        <v>989</v>
      </c>
      <c r="J223" s="13" t="s">
        <v>792</v>
      </c>
      <c r="K223" s="13" t="s">
        <v>793</v>
      </c>
      <c r="L223" s="13" t="s">
        <v>1725</v>
      </c>
      <c r="M223" s="13" t="s">
        <v>1383</v>
      </c>
      <c r="N223" s="13" t="s">
        <v>1384</v>
      </c>
      <c r="O223" s="13">
        <v>9402122</v>
      </c>
      <c r="P223" s="13" t="s">
        <v>600</v>
      </c>
      <c r="Q223" s="13">
        <v>128.37027798864301</v>
      </c>
      <c r="R223" s="13">
        <v>37.613482272505202</v>
      </c>
    </row>
    <row r="224" spans="1:18" x14ac:dyDescent="0.3">
      <c r="A224" t="s">
        <v>157</v>
      </c>
      <c r="B224" t="s">
        <v>838</v>
      </c>
      <c r="C224" t="s">
        <v>1299</v>
      </c>
      <c r="D224" t="s">
        <v>840</v>
      </c>
      <c r="E224">
        <v>3.9</v>
      </c>
      <c r="F224">
        <v>37</v>
      </c>
      <c r="G224">
        <v>4</v>
      </c>
      <c r="H224" s="13" t="s">
        <v>157</v>
      </c>
      <c r="I224" s="13" t="s">
        <v>854</v>
      </c>
      <c r="J224" s="13" t="s">
        <v>799</v>
      </c>
      <c r="K224" s="13" t="s">
        <v>800</v>
      </c>
      <c r="L224" s="13" t="s">
        <v>1724</v>
      </c>
      <c r="M224" s="13" t="s">
        <v>1385</v>
      </c>
      <c r="N224" s="13"/>
      <c r="O224" s="13">
        <v>8052398</v>
      </c>
      <c r="P224" s="13" t="s">
        <v>601</v>
      </c>
      <c r="Q224" s="13">
        <v>128.76251334941199</v>
      </c>
      <c r="R224" s="13">
        <v>37.969106712369602</v>
      </c>
    </row>
    <row r="225" spans="1:18" x14ac:dyDescent="0.3">
      <c r="A225" t="s">
        <v>602</v>
      </c>
      <c r="B225" t="s">
        <v>929</v>
      </c>
      <c r="C225" t="s">
        <v>1386</v>
      </c>
      <c r="D225" t="s">
        <v>1387</v>
      </c>
      <c r="E225">
        <v>3.8</v>
      </c>
      <c r="F225">
        <v>5</v>
      </c>
      <c r="G225">
        <v>4</v>
      </c>
      <c r="H225" s="13" t="s">
        <v>602</v>
      </c>
      <c r="I225" s="13" t="s">
        <v>798</v>
      </c>
      <c r="J225" s="13" t="s">
        <v>799</v>
      </c>
      <c r="K225" s="13" t="s">
        <v>800</v>
      </c>
      <c r="L225" s="13" t="s">
        <v>1723</v>
      </c>
      <c r="M225" s="13" t="s">
        <v>1388</v>
      </c>
      <c r="N225" s="13" t="s">
        <v>1386</v>
      </c>
      <c r="O225" s="13">
        <v>25626933</v>
      </c>
      <c r="P225" s="13" t="s">
        <v>603</v>
      </c>
      <c r="Q225" s="13">
        <v>128.16828227273501</v>
      </c>
      <c r="R225" s="13">
        <v>38.060121156206598</v>
      </c>
    </row>
    <row r="226" spans="1:18" x14ac:dyDescent="0.3">
      <c r="A226" t="s">
        <v>604</v>
      </c>
      <c r="B226" t="s">
        <v>929</v>
      </c>
      <c r="C226" t="s">
        <v>1389</v>
      </c>
      <c r="D226" t="s">
        <v>1390</v>
      </c>
      <c r="E226">
        <v>3.7</v>
      </c>
      <c r="F226">
        <v>3</v>
      </c>
      <c r="G226">
        <v>21</v>
      </c>
      <c r="H226" s="13" t="s">
        <v>605</v>
      </c>
      <c r="I226" s="13" t="s">
        <v>1111</v>
      </c>
      <c r="J226" s="13" t="s">
        <v>792</v>
      </c>
      <c r="K226" s="13" t="s">
        <v>793</v>
      </c>
      <c r="L226" s="13" t="s">
        <v>1722</v>
      </c>
      <c r="M226" s="13" t="s">
        <v>1391</v>
      </c>
      <c r="N226" s="13" t="s">
        <v>1389</v>
      </c>
      <c r="O226" s="13">
        <v>18606983</v>
      </c>
      <c r="P226" s="13" t="s">
        <v>606</v>
      </c>
      <c r="Q226" s="13">
        <v>128.25346969244299</v>
      </c>
      <c r="R226" s="13">
        <v>38.145465430121298</v>
      </c>
    </row>
    <row r="227" spans="1:18" x14ac:dyDescent="0.3">
      <c r="A227" t="s">
        <v>158</v>
      </c>
      <c r="B227" t="s">
        <v>929</v>
      </c>
      <c r="C227" t="s">
        <v>1114</v>
      </c>
      <c r="E227">
        <v>4.4000000000000004</v>
      </c>
      <c r="F227">
        <v>10</v>
      </c>
      <c r="G227">
        <v>58</v>
      </c>
      <c r="H227" s="13" t="s">
        <v>158</v>
      </c>
      <c r="I227" s="13" t="s">
        <v>810</v>
      </c>
      <c r="J227" s="13" t="s">
        <v>792</v>
      </c>
      <c r="K227" s="13" t="s">
        <v>793</v>
      </c>
      <c r="L227" s="13" t="s">
        <v>1721</v>
      </c>
      <c r="M227" s="13" t="s">
        <v>1115</v>
      </c>
      <c r="N227" s="13" t="s">
        <v>1114</v>
      </c>
      <c r="O227" s="13">
        <v>7911714</v>
      </c>
      <c r="P227" s="13" t="s">
        <v>607</v>
      </c>
      <c r="Q227" s="13">
        <v>128.171769806132</v>
      </c>
      <c r="R227" s="13">
        <v>38.062895814324897</v>
      </c>
    </row>
    <row r="228" spans="1:18" x14ac:dyDescent="0.3">
      <c r="A228" t="s">
        <v>159</v>
      </c>
      <c r="B228" t="s">
        <v>929</v>
      </c>
      <c r="C228" t="s">
        <v>1392</v>
      </c>
      <c r="D228" t="s">
        <v>1393</v>
      </c>
      <c r="E228">
        <v>4.0999999999999996</v>
      </c>
      <c r="F228">
        <v>14</v>
      </c>
      <c r="G228">
        <v>0</v>
      </c>
      <c r="H228" s="13" t="s">
        <v>608</v>
      </c>
      <c r="I228" s="13" t="s">
        <v>1263</v>
      </c>
      <c r="J228" s="13"/>
      <c r="K228" s="13"/>
      <c r="L228" s="13" t="s">
        <v>1720</v>
      </c>
      <c r="M228" s="13" t="s">
        <v>1394</v>
      </c>
      <c r="N228" s="13" t="s">
        <v>1392</v>
      </c>
      <c r="O228" s="13">
        <v>19883903</v>
      </c>
      <c r="P228" s="13" t="s">
        <v>609</v>
      </c>
      <c r="Q228" s="13">
        <v>128.29506936388901</v>
      </c>
      <c r="R228" s="13">
        <v>38.0010985665145</v>
      </c>
    </row>
    <row r="229" spans="1:18" x14ac:dyDescent="0.3">
      <c r="A229" t="s">
        <v>160</v>
      </c>
      <c r="B229" t="s">
        <v>980</v>
      </c>
      <c r="C229" t="s">
        <v>1332</v>
      </c>
      <c r="D229" t="s">
        <v>1199</v>
      </c>
      <c r="E229">
        <v>5</v>
      </c>
      <c r="F229">
        <v>1328</v>
      </c>
      <c r="G229">
        <v>250</v>
      </c>
      <c r="H229" s="13" t="s">
        <v>610</v>
      </c>
      <c r="I229" s="13" t="s">
        <v>1333</v>
      </c>
      <c r="J229" s="13"/>
      <c r="K229" s="13"/>
      <c r="L229" s="13" t="s">
        <v>1719</v>
      </c>
      <c r="M229" s="13" t="s">
        <v>1395</v>
      </c>
      <c r="N229" s="13" t="s">
        <v>1396</v>
      </c>
      <c r="O229" s="13">
        <v>12458663</v>
      </c>
      <c r="P229" s="13" t="s">
        <v>611</v>
      </c>
      <c r="Q229" s="13">
        <v>126.71113490807301</v>
      </c>
      <c r="R229" s="13">
        <v>37.613029567132202</v>
      </c>
    </row>
    <row r="230" spans="1:18" x14ac:dyDescent="0.3">
      <c r="A230" t="s">
        <v>161</v>
      </c>
      <c r="B230" t="s">
        <v>980</v>
      </c>
      <c r="C230" t="s">
        <v>1397</v>
      </c>
      <c r="D230" t="s">
        <v>1398</v>
      </c>
      <c r="E230">
        <v>4.5</v>
      </c>
      <c r="F230">
        <v>11</v>
      </c>
      <c r="G230">
        <v>2</v>
      </c>
      <c r="H230" s="13" t="s">
        <v>161</v>
      </c>
      <c r="I230" s="13" t="s">
        <v>989</v>
      </c>
      <c r="J230" s="13" t="s">
        <v>792</v>
      </c>
      <c r="K230" s="13" t="s">
        <v>793</v>
      </c>
      <c r="L230" s="13" t="s">
        <v>1718</v>
      </c>
      <c r="M230" s="13" t="s">
        <v>1334</v>
      </c>
      <c r="N230" s="13" t="s">
        <v>1397</v>
      </c>
      <c r="O230" s="13">
        <v>10254800</v>
      </c>
      <c r="P230" s="13" t="s">
        <v>612</v>
      </c>
      <c r="Q230" s="13">
        <v>128.45474979660901</v>
      </c>
      <c r="R230" s="13">
        <v>37.195503322006701</v>
      </c>
    </row>
    <row r="231" spans="1:18" x14ac:dyDescent="0.3">
      <c r="A231" t="s">
        <v>162</v>
      </c>
      <c r="B231" t="s">
        <v>885</v>
      </c>
      <c r="C231" t="s">
        <v>1399</v>
      </c>
      <c r="D231" t="s">
        <v>1003</v>
      </c>
      <c r="E231">
        <v>3.8</v>
      </c>
      <c r="F231">
        <v>90</v>
      </c>
      <c r="G231">
        <v>17</v>
      </c>
      <c r="H231" s="13" t="s">
        <v>162</v>
      </c>
      <c r="I231" s="13" t="s">
        <v>1009</v>
      </c>
      <c r="J231" s="13"/>
      <c r="K231" s="13"/>
      <c r="L231" s="13" t="s">
        <v>1717</v>
      </c>
      <c r="M231" s="13"/>
      <c r="N231" s="13" t="s">
        <v>1399</v>
      </c>
      <c r="O231" s="13">
        <v>26952521</v>
      </c>
      <c r="P231" s="13" t="s">
        <v>613</v>
      </c>
      <c r="Q231" s="13">
        <v>129.31786815499501</v>
      </c>
      <c r="R231" s="13">
        <v>37.288522240181202</v>
      </c>
    </row>
    <row r="232" spans="1:18" x14ac:dyDescent="0.3">
      <c r="A232" t="s">
        <v>163</v>
      </c>
      <c r="B232" t="s">
        <v>885</v>
      </c>
      <c r="C232" t="s">
        <v>1399</v>
      </c>
      <c r="D232" t="s">
        <v>1003</v>
      </c>
      <c r="E232">
        <v>4</v>
      </c>
      <c r="F232">
        <v>27</v>
      </c>
      <c r="G232">
        <v>2</v>
      </c>
      <c r="H232" s="13" t="s">
        <v>163</v>
      </c>
      <c r="I232" s="13" t="s">
        <v>925</v>
      </c>
      <c r="J232" s="13" t="s">
        <v>799</v>
      </c>
      <c r="K232" s="13" t="s">
        <v>800</v>
      </c>
      <c r="L232" s="13" t="s">
        <v>1716</v>
      </c>
      <c r="M232" s="13"/>
      <c r="N232" s="13"/>
      <c r="O232" s="13">
        <v>748327736</v>
      </c>
      <c r="P232" s="13" t="s">
        <v>614</v>
      </c>
      <c r="Q232" s="13">
        <v>129.31794151557699</v>
      </c>
      <c r="R232" s="13">
        <v>37.289747927780098</v>
      </c>
    </row>
    <row r="233" spans="1:18" x14ac:dyDescent="0.3">
      <c r="A233" t="s">
        <v>164</v>
      </c>
      <c r="B233" t="s">
        <v>980</v>
      </c>
      <c r="C233" t="s">
        <v>1400</v>
      </c>
      <c r="D233" t="s">
        <v>1401</v>
      </c>
      <c r="E233">
        <v>3.8</v>
      </c>
      <c r="F233">
        <v>86</v>
      </c>
      <c r="G233">
        <v>385</v>
      </c>
      <c r="H233" s="13" t="s">
        <v>164</v>
      </c>
      <c r="I233" s="13" t="s">
        <v>1111</v>
      </c>
      <c r="J233" s="13" t="s">
        <v>792</v>
      </c>
      <c r="K233" s="13" t="s">
        <v>793</v>
      </c>
      <c r="L233" s="13" t="s">
        <v>1715</v>
      </c>
      <c r="M233" s="13" t="s">
        <v>1402</v>
      </c>
      <c r="N233" s="13" t="s">
        <v>1403</v>
      </c>
      <c r="O233" s="13">
        <v>681597926</v>
      </c>
      <c r="P233" s="13" t="s">
        <v>615</v>
      </c>
      <c r="Q233" s="13">
        <v>128.26929461888</v>
      </c>
      <c r="R233" s="13">
        <v>37.273875528513699</v>
      </c>
    </row>
    <row r="234" spans="1:18" x14ac:dyDescent="0.3">
      <c r="A234" t="s">
        <v>165</v>
      </c>
      <c r="B234" t="s">
        <v>803</v>
      </c>
      <c r="C234" t="s">
        <v>1404</v>
      </c>
      <c r="D234" t="s">
        <v>1405</v>
      </c>
      <c r="E234">
        <v>3.8</v>
      </c>
      <c r="F234">
        <v>20</v>
      </c>
      <c r="G234">
        <v>6</v>
      </c>
      <c r="H234" s="13" t="s">
        <v>165</v>
      </c>
      <c r="I234" s="13" t="s">
        <v>973</v>
      </c>
      <c r="J234" s="13" t="s">
        <v>799</v>
      </c>
      <c r="K234" s="13" t="s">
        <v>800</v>
      </c>
      <c r="L234" s="13" t="s">
        <v>1714</v>
      </c>
      <c r="M234" s="13"/>
      <c r="N234" s="13"/>
      <c r="O234" s="13">
        <v>2045844394</v>
      </c>
      <c r="P234" s="13" t="s">
        <v>616</v>
      </c>
      <c r="Q234" s="13">
        <v>129.056702150934</v>
      </c>
      <c r="R234" s="13">
        <v>37.6731420380735</v>
      </c>
    </row>
    <row r="235" spans="1:18" x14ac:dyDescent="0.3">
      <c r="A235" t="s">
        <v>166</v>
      </c>
      <c r="B235" t="s">
        <v>941</v>
      </c>
      <c r="C235" t="s">
        <v>1406</v>
      </c>
      <c r="D235" t="s">
        <v>1407</v>
      </c>
      <c r="E235">
        <v>4.0999999999999996</v>
      </c>
      <c r="F235">
        <v>49</v>
      </c>
      <c r="G235">
        <v>157</v>
      </c>
      <c r="H235" s="13" t="s">
        <v>617</v>
      </c>
      <c r="I235" s="13" t="s">
        <v>829</v>
      </c>
      <c r="J235" s="13"/>
      <c r="K235" s="13"/>
      <c r="L235" s="13" t="s">
        <v>1713</v>
      </c>
      <c r="M235" s="13" t="s">
        <v>1408</v>
      </c>
      <c r="N235" s="13" t="s">
        <v>1406</v>
      </c>
      <c r="O235" s="13">
        <v>10713257</v>
      </c>
      <c r="P235" s="13" t="s">
        <v>618</v>
      </c>
      <c r="Q235" s="13">
        <v>128.72876907945999</v>
      </c>
      <c r="R235" s="13">
        <v>37.5170778445408</v>
      </c>
    </row>
    <row r="236" spans="1:18" x14ac:dyDescent="0.3">
      <c r="A236" t="s">
        <v>619</v>
      </c>
      <c r="B236" t="s">
        <v>941</v>
      </c>
      <c r="C236" t="s">
        <v>1409</v>
      </c>
      <c r="D236" t="s">
        <v>1410</v>
      </c>
      <c r="E236">
        <v>0</v>
      </c>
      <c r="F236">
        <v>0</v>
      </c>
      <c r="G236">
        <v>4</v>
      </c>
      <c r="H236" s="13" t="s">
        <v>620</v>
      </c>
      <c r="I236" s="13" t="s">
        <v>1022</v>
      </c>
      <c r="J236" s="13"/>
      <c r="K236" s="13"/>
      <c r="L236" s="13" t="s">
        <v>1712</v>
      </c>
      <c r="M236" s="13" t="s">
        <v>1411</v>
      </c>
      <c r="N236" s="13"/>
      <c r="O236" s="13">
        <v>599490456</v>
      </c>
      <c r="P236" s="13" t="s">
        <v>621</v>
      </c>
      <c r="Q236" s="13">
        <v>128.78799543884699</v>
      </c>
      <c r="R236" s="13">
        <v>37.345464300230603</v>
      </c>
    </row>
    <row r="237" spans="1:18" x14ac:dyDescent="0.3">
      <c r="A237" t="s">
        <v>622</v>
      </c>
      <c r="B237" t="s">
        <v>941</v>
      </c>
      <c r="C237" t="s">
        <v>1412</v>
      </c>
      <c r="D237" t="s">
        <v>1413</v>
      </c>
      <c r="E237">
        <v>4.4000000000000004</v>
      </c>
      <c r="F237">
        <v>11</v>
      </c>
      <c r="G237">
        <v>28</v>
      </c>
      <c r="H237" s="13" t="s">
        <v>623</v>
      </c>
      <c r="I237" s="13" t="s">
        <v>1022</v>
      </c>
      <c r="J237" s="13"/>
      <c r="K237" s="13"/>
      <c r="L237" s="13" t="s">
        <v>1711</v>
      </c>
      <c r="M237" s="13" t="s">
        <v>1414</v>
      </c>
      <c r="N237" s="13" t="s">
        <v>1412</v>
      </c>
      <c r="O237" s="13">
        <v>26911855</v>
      </c>
      <c r="P237" s="13" t="s">
        <v>624</v>
      </c>
      <c r="Q237" s="13">
        <v>128.70144217606901</v>
      </c>
      <c r="R237" s="13">
        <v>37.385542042893398</v>
      </c>
    </row>
    <row r="238" spans="1:18" x14ac:dyDescent="0.3">
      <c r="A238" t="s">
        <v>167</v>
      </c>
      <c r="B238" t="s">
        <v>941</v>
      </c>
      <c r="C238" t="s">
        <v>1415</v>
      </c>
      <c r="D238" t="s">
        <v>1105</v>
      </c>
      <c r="E238">
        <v>4.3</v>
      </c>
      <c r="F238">
        <v>26</v>
      </c>
      <c r="G238">
        <v>68</v>
      </c>
      <c r="H238" s="13" t="s">
        <v>167</v>
      </c>
      <c r="I238" s="13" t="s">
        <v>896</v>
      </c>
      <c r="J238" s="13"/>
      <c r="K238" s="13"/>
      <c r="L238" s="13" t="s">
        <v>1710</v>
      </c>
      <c r="M238" s="13" t="s">
        <v>1416</v>
      </c>
      <c r="N238" s="13" t="s">
        <v>1417</v>
      </c>
      <c r="O238" s="13">
        <v>11728631</v>
      </c>
      <c r="P238" s="13" t="s">
        <v>625</v>
      </c>
      <c r="Q238" s="13">
        <v>128.67191168983101</v>
      </c>
      <c r="R238" s="13">
        <v>37.374597307744502</v>
      </c>
    </row>
    <row r="239" spans="1:18" x14ac:dyDescent="0.3">
      <c r="A239" t="s">
        <v>168</v>
      </c>
      <c r="B239" t="s">
        <v>941</v>
      </c>
      <c r="C239" t="s">
        <v>1418</v>
      </c>
      <c r="D239" t="s">
        <v>1419</v>
      </c>
      <c r="E239">
        <v>4.4000000000000004</v>
      </c>
      <c r="F239">
        <v>27</v>
      </c>
      <c r="G239">
        <v>131</v>
      </c>
      <c r="H239" s="13" t="s">
        <v>168</v>
      </c>
      <c r="I239" s="13" t="s">
        <v>899</v>
      </c>
      <c r="J239" s="13"/>
      <c r="K239" s="13"/>
      <c r="L239" s="13" t="s">
        <v>1709</v>
      </c>
      <c r="M239" s="13" t="s">
        <v>1420</v>
      </c>
      <c r="N239" s="13" t="s">
        <v>1418</v>
      </c>
      <c r="O239" s="13">
        <v>8078270</v>
      </c>
      <c r="P239" s="13" t="s">
        <v>626</v>
      </c>
      <c r="Q239" s="13">
        <v>128.892591829537</v>
      </c>
      <c r="R239" s="13">
        <v>37.183042279273998</v>
      </c>
    </row>
    <row r="240" spans="1:18" x14ac:dyDescent="0.3">
      <c r="A240" t="s">
        <v>169</v>
      </c>
      <c r="B240" t="s">
        <v>876</v>
      </c>
      <c r="C240" t="s">
        <v>1421</v>
      </c>
      <c r="D240" t="s">
        <v>936</v>
      </c>
      <c r="E240">
        <v>3.9</v>
      </c>
      <c r="F240">
        <v>181</v>
      </c>
      <c r="G240">
        <v>236</v>
      </c>
      <c r="H240" s="13" t="s">
        <v>169</v>
      </c>
      <c r="I240" s="13" t="s">
        <v>850</v>
      </c>
      <c r="J240" s="13" t="s">
        <v>799</v>
      </c>
      <c r="K240" s="13" t="s">
        <v>800</v>
      </c>
      <c r="L240" s="13" t="s">
        <v>1708</v>
      </c>
      <c r="M240" s="13" t="s">
        <v>1422</v>
      </c>
      <c r="N240" s="13" t="s">
        <v>1421</v>
      </c>
      <c r="O240" s="13">
        <v>11209011</v>
      </c>
      <c r="P240" s="13" t="s">
        <v>627</v>
      </c>
      <c r="Q240" s="13">
        <v>127.54214100487501</v>
      </c>
      <c r="R240" s="13">
        <v>37.8327473089074</v>
      </c>
    </row>
    <row r="241" spans="1:18" x14ac:dyDescent="0.3">
      <c r="A241" t="s">
        <v>170</v>
      </c>
      <c r="B241" t="s">
        <v>894</v>
      </c>
      <c r="C241" t="s">
        <v>1423</v>
      </c>
      <c r="D241" t="s">
        <v>1424</v>
      </c>
      <c r="E241">
        <v>4.9000000000000004</v>
      </c>
      <c r="F241">
        <v>44</v>
      </c>
      <c r="G241">
        <v>110</v>
      </c>
      <c r="H241" s="13" t="s">
        <v>170</v>
      </c>
      <c r="I241" s="13" t="s">
        <v>989</v>
      </c>
      <c r="J241" s="13" t="s">
        <v>792</v>
      </c>
      <c r="K241" s="13" t="s">
        <v>793</v>
      </c>
      <c r="L241" s="13" t="s">
        <v>1707</v>
      </c>
      <c r="M241" s="13" t="s">
        <v>1425</v>
      </c>
      <c r="N241" s="13" t="s">
        <v>1423</v>
      </c>
      <c r="O241" s="13">
        <v>25478174</v>
      </c>
      <c r="P241" s="13" t="s">
        <v>628</v>
      </c>
      <c r="Q241" s="13">
        <v>127.43400555647</v>
      </c>
      <c r="R241" s="13">
        <v>38.118581131937702</v>
      </c>
    </row>
    <row r="242" spans="1:18" x14ac:dyDescent="0.3">
      <c r="A242" t="s">
        <v>629</v>
      </c>
      <c r="B242" t="s">
        <v>817</v>
      </c>
      <c r="C242" t="s">
        <v>1426</v>
      </c>
      <c r="D242" t="s">
        <v>975</v>
      </c>
      <c r="E242">
        <v>4.9000000000000004</v>
      </c>
      <c r="F242">
        <v>44</v>
      </c>
      <c r="G242">
        <v>110</v>
      </c>
      <c r="H242" s="13" t="s">
        <v>630</v>
      </c>
      <c r="I242" s="13" t="s">
        <v>1171</v>
      </c>
      <c r="J242" s="13"/>
      <c r="K242" s="13"/>
      <c r="L242" s="13" t="s">
        <v>1706</v>
      </c>
      <c r="M242" s="13" t="s">
        <v>1427</v>
      </c>
      <c r="N242" s="13" t="s">
        <v>1428</v>
      </c>
      <c r="O242" s="13">
        <v>1944590477</v>
      </c>
      <c r="P242" s="13" t="s">
        <v>631</v>
      </c>
      <c r="Q242" s="13">
        <v>128.14647698271</v>
      </c>
      <c r="R242" s="13">
        <v>38.289003335883599</v>
      </c>
    </row>
    <row r="243" spans="1:18" x14ac:dyDescent="0.3">
      <c r="A243" t="s">
        <v>632</v>
      </c>
      <c r="B243" t="s">
        <v>838</v>
      </c>
      <c r="C243" t="s">
        <v>1307</v>
      </c>
      <c r="D243" t="s">
        <v>840</v>
      </c>
      <c r="E243">
        <v>4.4000000000000004</v>
      </c>
      <c r="F243">
        <v>24</v>
      </c>
      <c r="G243">
        <v>28</v>
      </c>
      <c r="H243" s="13" t="s">
        <v>632</v>
      </c>
      <c r="I243" s="13" t="s">
        <v>925</v>
      </c>
      <c r="J243" s="13" t="s">
        <v>799</v>
      </c>
      <c r="K243" s="13" t="s">
        <v>800</v>
      </c>
      <c r="L243" s="13" t="s">
        <v>1705</v>
      </c>
      <c r="M243" s="13"/>
      <c r="N243" s="13"/>
      <c r="O243" s="13">
        <v>8069442</v>
      </c>
      <c r="P243" s="13" t="s">
        <v>633</v>
      </c>
      <c r="Q243" s="13">
        <v>128.76383336990401</v>
      </c>
      <c r="R243" s="13">
        <v>37.971580417125203</v>
      </c>
    </row>
    <row r="244" spans="1:18" x14ac:dyDescent="0.3">
      <c r="A244" t="s">
        <v>171</v>
      </c>
      <c r="B244" t="s">
        <v>885</v>
      </c>
      <c r="C244" t="s">
        <v>1429</v>
      </c>
      <c r="D244" t="s">
        <v>1003</v>
      </c>
      <c r="E244">
        <v>4</v>
      </c>
      <c r="F244">
        <v>41</v>
      </c>
      <c r="G244">
        <v>170</v>
      </c>
      <c r="H244" s="13" t="s">
        <v>171</v>
      </c>
      <c r="I244" s="13" t="s">
        <v>845</v>
      </c>
      <c r="J244" s="13"/>
      <c r="K244" s="13"/>
      <c r="L244" s="13" t="s">
        <v>1704</v>
      </c>
      <c r="M244" s="13" t="s">
        <v>1430</v>
      </c>
      <c r="N244" s="13" t="s">
        <v>1429</v>
      </c>
      <c r="O244" s="13">
        <v>10793255</v>
      </c>
      <c r="P244" s="13" t="s">
        <v>634</v>
      </c>
      <c r="Q244" s="13">
        <v>129.160538443793</v>
      </c>
      <c r="R244" s="13">
        <v>37.440889993161797</v>
      </c>
    </row>
    <row r="245" spans="1:18" x14ac:dyDescent="0.3">
      <c r="A245" t="s">
        <v>635</v>
      </c>
      <c r="B245" t="s">
        <v>885</v>
      </c>
      <c r="C245" t="s">
        <v>1431</v>
      </c>
      <c r="D245" t="s">
        <v>1003</v>
      </c>
      <c r="E245">
        <v>4.2</v>
      </c>
      <c r="F245">
        <v>9</v>
      </c>
      <c r="G245">
        <v>9</v>
      </c>
      <c r="H245" s="13" t="s">
        <v>635</v>
      </c>
      <c r="I245" s="13" t="s">
        <v>1333</v>
      </c>
      <c r="J245" s="13"/>
      <c r="K245" s="13"/>
      <c r="L245" s="13" t="s">
        <v>1703</v>
      </c>
      <c r="M245" s="13" t="s">
        <v>1432</v>
      </c>
      <c r="N245" s="13"/>
      <c r="O245" s="13">
        <v>8069099</v>
      </c>
      <c r="P245" s="13" t="s">
        <v>636</v>
      </c>
      <c r="Q245" s="13">
        <v>129.059244550579</v>
      </c>
      <c r="R245" s="13">
        <v>37.367382919831797</v>
      </c>
    </row>
    <row r="246" spans="1:18" x14ac:dyDescent="0.3">
      <c r="A246" t="s">
        <v>172</v>
      </c>
      <c r="B246" t="s">
        <v>876</v>
      </c>
      <c r="C246" t="s">
        <v>1433</v>
      </c>
      <c r="D246" t="s">
        <v>1434</v>
      </c>
      <c r="E246">
        <v>3.8</v>
      </c>
      <c r="F246">
        <v>59</v>
      </c>
      <c r="G246">
        <v>256</v>
      </c>
      <c r="H246" s="13" t="s">
        <v>637</v>
      </c>
      <c r="I246" s="13" t="s">
        <v>1039</v>
      </c>
      <c r="J246" s="13"/>
      <c r="K246" s="13"/>
      <c r="L246" s="13" t="s">
        <v>1702</v>
      </c>
      <c r="M246" s="13" t="s">
        <v>1435</v>
      </c>
      <c r="N246" s="13" t="s">
        <v>1433</v>
      </c>
      <c r="O246" s="13">
        <v>26556637</v>
      </c>
      <c r="P246" s="13" t="s">
        <v>638</v>
      </c>
      <c r="Q246" s="13">
        <v>127.68995324197201</v>
      </c>
      <c r="R246" s="13">
        <v>37.870825205229799</v>
      </c>
    </row>
    <row r="247" spans="1:18" x14ac:dyDescent="0.3">
      <c r="A247" t="s">
        <v>173</v>
      </c>
      <c r="B247" t="s">
        <v>813</v>
      </c>
      <c r="C247" t="s">
        <v>1165</v>
      </c>
      <c r="E247">
        <v>3.7</v>
      </c>
      <c r="F247">
        <v>56</v>
      </c>
      <c r="G247">
        <v>109</v>
      </c>
      <c r="H247" s="13" t="s">
        <v>173</v>
      </c>
      <c r="I247" s="13" t="s">
        <v>825</v>
      </c>
      <c r="J247" s="13"/>
      <c r="K247" s="13"/>
      <c r="L247" s="13" t="s">
        <v>1701</v>
      </c>
      <c r="M247" s="13"/>
      <c r="N247" s="13" t="s">
        <v>1165</v>
      </c>
      <c r="O247" s="13">
        <v>8074259</v>
      </c>
      <c r="P247" s="13" t="s">
        <v>639</v>
      </c>
      <c r="Q247" s="13">
        <v>127.26626482547699</v>
      </c>
      <c r="R247" s="13">
        <v>38.209583838174503</v>
      </c>
    </row>
    <row r="248" spans="1:18" x14ac:dyDescent="0.3">
      <c r="A248" t="s">
        <v>174</v>
      </c>
      <c r="B248" t="s">
        <v>822</v>
      </c>
      <c r="C248" t="s">
        <v>1436</v>
      </c>
      <c r="D248" t="s">
        <v>824</v>
      </c>
      <c r="E248">
        <v>4.5999999999999996</v>
      </c>
      <c r="F248">
        <v>19</v>
      </c>
      <c r="G248">
        <v>25</v>
      </c>
      <c r="H248" s="13" t="s">
        <v>174</v>
      </c>
      <c r="I248" s="13" t="s">
        <v>850</v>
      </c>
      <c r="J248" s="13" t="s">
        <v>799</v>
      </c>
      <c r="K248" s="13" t="s">
        <v>800</v>
      </c>
      <c r="L248" s="13" t="s">
        <v>1700</v>
      </c>
      <c r="M248" s="13" t="s">
        <v>1437</v>
      </c>
      <c r="N248" s="13" t="s">
        <v>1436</v>
      </c>
      <c r="O248" s="13">
        <v>27257731</v>
      </c>
      <c r="P248" s="13" t="s">
        <v>640</v>
      </c>
      <c r="Q248" s="13">
        <v>128.158384428864</v>
      </c>
      <c r="R248" s="13">
        <v>37.781967003151301</v>
      </c>
    </row>
    <row r="249" spans="1:18" x14ac:dyDescent="0.3">
      <c r="A249" t="s">
        <v>175</v>
      </c>
      <c r="B249" t="s">
        <v>1015</v>
      </c>
      <c r="C249" t="s">
        <v>1438</v>
      </c>
      <c r="D249" t="s">
        <v>1017</v>
      </c>
      <c r="E249">
        <v>4.4000000000000004</v>
      </c>
      <c r="F249">
        <v>152</v>
      </c>
      <c r="G249">
        <v>432</v>
      </c>
      <c r="H249" s="13" t="s">
        <v>175</v>
      </c>
      <c r="I249" s="13" t="s">
        <v>940</v>
      </c>
      <c r="J249" s="13"/>
      <c r="K249" s="13"/>
      <c r="L249" s="13" t="s">
        <v>1699</v>
      </c>
      <c r="M249" s="13" t="s">
        <v>1439</v>
      </c>
      <c r="N249" s="13" t="s">
        <v>1438</v>
      </c>
      <c r="O249" s="13">
        <v>8100113</v>
      </c>
      <c r="P249" s="13" t="s">
        <v>641</v>
      </c>
      <c r="Q249" s="13">
        <v>129.11016383248401</v>
      </c>
      <c r="R249" s="13">
        <v>37.517345701931099</v>
      </c>
    </row>
    <row r="250" spans="1:18" x14ac:dyDescent="0.3">
      <c r="A250" t="s">
        <v>176</v>
      </c>
      <c r="B250" t="s">
        <v>795</v>
      </c>
      <c r="C250" t="s">
        <v>1440</v>
      </c>
      <c r="D250" t="s">
        <v>939</v>
      </c>
      <c r="E250">
        <v>4.0999999999999996</v>
      </c>
      <c r="F250">
        <v>54</v>
      </c>
      <c r="G250">
        <v>125</v>
      </c>
      <c r="H250" s="13" t="s">
        <v>176</v>
      </c>
      <c r="I250" s="13" t="s">
        <v>896</v>
      </c>
      <c r="J250" s="13"/>
      <c r="K250" s="13"/>
      <c r="L250" s="13" t="s">
        <v>1698</v>
      </c>
      <c r="M250" s="13" t="s">
        <v>1441</v>
      </c>
      <c r="N250" s="13" t="s">
        <v>1440</v>
      </c>
      <c r="O250" s="13">
        <v>25411516</v>
      </c>
      <c r="P250" s="13" t="s">
        <v>642</v>
      </c>
      <c r="Q250" s="13">
        <v>129.03714821048899</v>
      </c>
      <c r="R250" s="13">
        <v>37.114153833765897</v>
      </c>
    </row>
    <row r="251" spans="1:18" x14ac:dyDescent="0.3">
      <c r="A251" t="s">
        <v>643</v>
      </c>
      <c r="B251" t="s">
        <v>813</v>
      </c>
      <c r="C251" t="s">
        <v>1442</v>
      </c>
      <c r="D251" t="s">
        <v>1443</v>
      </c>
      <c r="E251">
        <v>4.3</v>
      </c>
      <c r="F251">
        <v>117</v>
      </c>
      <c r="G251">
        <v>425</v>
      </c>
      <c r="H251" s="13" t="s">
        <v>644</v>
      </c>
      <c r="I251" s="13" t="s">
        <v>896</v>
      </c>
      <c r="J251" s="13"/>
      <c r="K251" s="13"/>
      <c r="L251" s="13" t="s">
        <v>1697</v>
      </c>
      <c r="M251" s="13"/>
      <c r="N251" s="13" t="s">
        <v>1444</v>
      </c>
      <c r="O251" s="13">
        <v>1648762660</v>
      </c>
      <c r="P251" s="13" t="s">
        <v>645</v>
      </c>
      <c r="Q251" s="13">
        <v>127.295051714024</v>
      </c>
      <c r="R251" s="13">
        <v>38.187001623257203</v>
      </c>
    </row>
    <row r="252" spans="1:18" x14ac:dyDescent="0.3">
      <c r="A252" t="s">
        <v>177</v>
      </c>
      <c r="B252" t="s">
        <v>813</v>
      </c>
      <c r="C252" t="s">
        <v>1445</v>
      </c>
      <c r="D252" t="s">
        <v>1446</v>
      </c>
      <c r="E252">
        <v>4.4000000000000004</v>
      </c>
      <c r="F252">
        <v>49</v>
      </c>
      <c r="G252">
        <v>217</v>
      </c>
      <c r="H252" s="13" t="s">
        <v>177</v>
      </c>
      <c r="I252" s="13" t="s">
        <v>815</v>
      </c>
      <c r="J252" s="13"/>
      <c r="K252" s="13"/>
      <c r="L252" s="13" t="s">
        <v>1696</v>
      </c>
      <c r="M252" s="13"/>
      <c r="N252" s="13" t="s">
        <v>1447</v>
      </c>
      <c r="O252" s="13">
        <v>183546962</v>
      </c>
      <c r="P252" s="13" t="s">
        <v>646</v>
      </c>
      <c r="Q252" s="13">
        <v>127.20005024197199</v>
      </c>
      <c r="R252" s="13">
        <v>38.254985189533897</v>
      </c>
    </row>
    <row r="253" spans="1:18" x14ac:dyDescent="0.3">
      <c r="A253" t="s">
        <v>178</v>
      </c>
      <c r="B253" t="s">
        <v>813</v>
      </c>
      <c r="C253" t="s">
        <v>1448</v>
      </c>
      <c r="D253" t="s">
        <v>1446</v>
      </c>
      <c r="E253">
        <v>4.5</v>
      </c>
      <c r="F253">
        <v>108</v>
      </c>
      <c r="G253">
        <v>156</v>
      </c>
      <c r="H253" s="13" t="s">
        <v>178</v>
      </c>
      <c r="I253" s="13" t="s">
        <v>896</v>
      </c>
      <c r="J253" s="13"/>
      <c r="K253" s="13"/>
      <c r="L253" s="13" t="s">
        <v>1695</v>
      </c>
      <c r="M253" s="13"/>
      <c r="N253" s="13" t="s">
        <v>1448</v>
      </c>
      <c r="O253" s="13">
        <v>1117877754</v>
      </c>
      <c r="P253" s="13" t="s">
        <v>647</v>
      </c>
      <c r="Q253" s="13">
        <v>127.299913183288</v>
      </c>
      <c r="R253" s="13">
        <v>38.174499246207297</v>
      </c>
    </row>
    <row r="254" spans="1:18" x14ac:dyDescent="0.3">
      <c r="A254" t="s">
        <v>179</v>
      </c>
      <c r="B254" t="s">
        <v>813</v>
      </c>
      <c r="C254" t="s">
        <v>1081</v>
      </c>
      <c r="D254" t="s">
        <v>1449</v>
      </c>
      <c r="E254">
        <v>3.8</v>
      </c>
      <c r="F254">
        <v>27</v>
      </c>
      <c r="G254">
        <v>22</v>
      </c>
      <c r="H254" s="13" t="s">
        <v>648</v>
      </c>
      <c r="I254" s="13" t="s">
        <v>896</v>
      </c>
      <c r="J254" s="13"/>
      <c r="K254" s="13"/>
      <c r="L254" s="13" t="s">
        <v>1694</v>
      </c>
      <c r="M254" s="13"/>
      <c r="N254" s="13"/>
      <c r="O254" s="13">
        <v>886460112</v>
      </c>
      <c r="P254" s="13" t="s">
        <v>649</v>
      </c>
      <c r="Q254" s="13">
        <v>127.270560016281</v>
      </c>
      <c r="R254" s="13">
        <v>38.206135301091997</v>
      </c>
    </row>
    <row r="255" spans="1:18" x14ac:dyDescent="0.3">
      <c r="A255" t="s">
        <v>180</v>
      </c>
      <c r="B255" t="s">
        <v>813</v>
      </c>
      <c r="C255" t="s">
        <v>1217</v>
      </c>
      <c r="D255" t="s">
        <v>1450</v>
      </c>
      <c r="E255">
        <v>3.8</v>
      </c>
      <c r="F255">
        <v>27</v>
      </c>
      <c r="G255">
        <v>22</v>
      </c>
      <c r="H255" s="13" t="s">
        <v>650</v>
      </c>
      <c r="I255" s="13" t="s">
        <v>1451</v>
      </c>
      <c r="J255" s="13"/>
      <c r="K255" s="13"/>
      <c r="L255" s="13" t="s">
        <v>1693</v>
      </c>
      <c r="M255" s="13"/>
      <c r="N255" s="13"/>
      <c r="O255" s="13">
        <v>898493847</v>
      </c>
      <c r="P255" s="13" t="s">
        <v>651</v>
      </c>
      <c r="Q255" s="13">
        <v>127.278464938734</v>
      </c>
      <c r="R255" s="13">
        <v>38.2006285609096</v>
      </c>
    </row>
    <row r="256" spans="1:18" x14ac:dyDescent="0.3">
      <c r="A256" t="s">
        <v>181</v>
      </c>
      <c r="B256" t="s">
        <v>807</v>
      </c>
      <c r="C256" t="s">
        <v>1452</v>
      </c>
      <c r="D256" t="s">
        <v>1453</v>
      </c>
      <c r="E256">
        <v>4.3</v>
      </c>
      <c r="F256">
        <v>53</v>
      </c>
      <c r="G256">
        <v>114</v>
      </c>
      <c r="H256" s="13" t="s">
        <v>181</v>
      </c>
      <c r="I256" s="13" t="s">
        <v>845</v>
      </c>
      <c r="J256" s="13"/>
      <c r="K256" s="13"/>
      <c r="L256" s="13" t="s">
        <v>1692</v>
      </c>
      <c r="M256" s="13" t="s">
        <v>1454</v>
      </c>
      <c r="N256" s="13"/>
      <c r="O256" s="13">
        <v>8109027</v>
      </c>
      <c r="P256" s="13" t="s">
        <v>652</v>
      </c>
      <c r="Q256" s="13">
        <v>128.55836401768801</v>
      </c>
      <c r="R256" s="13">
        <v>38.264409707791501</v>
      </c>
    </row>
    <row r="257" spans="1:18" x14ac:dyDescent="0.3">
      <c r="A257" t="s">
        <v>653</v>
      </c>
      <c r="B257" t="s">
        <v>955</v>
      </c>
      <c r="C257" t="s">
        <v>1186</v>
      </c>
      <c r="D257" t="s">
        <v>1207</v>
      </c>
      <c r="E257">
        <v>4.2</v>
      </c>
      <c r="F257">
        <v>5</v>
      </c>
      <c r="G257">
        <v>40</v>
      </c>
      <c r="H257" s="13" t="s">
        <v>653</v>
      </c>
      <c r="I257" s="13" t="s">
        <v>1059</v>
      </c>
      <c r="J257" s="13" t="s">
        <v>799</v>
      </c>
      <c r="K257" s="13" t="s">
        <v>800</v>
      </c>
      <c r="L257" s="13" t="s">
        <v>1691</v>
      </c>
      <c r="M257" s="13"/>
      <c r="N257" s="13" t="s">
        <v>1265</v>
      </c>
      <c r="O257" s="13">
        <v>8088618</v>
      </c>
      <c r="P257" s="13" t="s">
        <v>654</v>
      </c>
      <c r="Q257" s="13">
        <v>128.57219776396701</v>
      </c>
      <c r="R257" s="13">
        <v>38.178305383271699</v>
      </c>
    </row>
    <row r="258" spans="1:18" x14ac:dyDescent="0.3">
      <c r="A258" t="s">
        <v>182</v>
      </c>
      <c r="B258" t="s">
        <v>980</v>
      </c>
      <c r="C258" t="s">
        <v>1455</v>
      </c>
      <c r="D258" t="s">
        <v>1199</v>
      </c>
      <c r="E258">
        <v>4.7</v>
      </c>
      <c r="F258">
        <v>256</v>
      </c>
      <c r="G258">
        <v>330</v>
      </c>
      <c r="H258" s="13" t="s">
        <v>182</v>
      </c>
      <c r="I258" s="13" t="s">
        <v>874</v>
      </c>
      <c r="J258" s="13"/>
      <c r="K258" s="13"/>
      <c r="L258" s="13" t="s">
        <v>1690</v>
      </c>
      <c r="M258" s="13"/>
      <c r="N258" s="13" t="s">
        <v>1456</v>
      </c>
      <c r="O258" s="13">
        <v>17583186</v>
      </c>
      <c r="P258" s="13" t="s">
        <v>655</v>
      </c>
      <c r="Q258" s="13">
        <v>128.444604045143</v>
      </c>
      <c r="R258" s="13">
        <v>37.175020366640503</v>
      </c>
    </row>
    <row r="259" spans="1:18" x14ac:dyDescent="0.3">
      <c r="A259" t="s">
        <v>183</v>
      </c>
      <c r="B259" t="s">
        <v>955</v>
      </c>
      <c r="C259" t="s">
        <v>1186</v>
      </c>
      <c r="D259" t="s">
        <v>1457</v>
      </c>
      <c r="E259">
        <v>4.5</v>
      </c>
      <c r="F259">
        <v>45</v>
      </c>
      <c r="G259">
        <v>10</v>
      </c>
      <c r="H259" s="13" t="s">
        <v>183</v>
      </c>
      <c r="I259" s="13" t="s">
        <v>1326</v>
      </c>
      <c r="J259" s="13" t="s">
        <v>799</v>
      </c>
      <c r="K259" s="13" t="s">
        <v>800</v>
      </c>
      <c r="L259" s="13" t="s">
        <v>1689</v>
      </c>
      <c r="M259" s="13"/>
      <c r="N259" s="13"/>
      <c r="O259" s="13">
        <v>8105816</v>
      </c>
      <c r="P259" s="13" t="s">
        <v>656</v>
      </c>
      <c r="Q259" s="13">
        <v>128.58907723106799</v>
      </c>
      <c r="R259" s="13">
        <v>38.199630194556697</v>
      </c>
    </row>
    <row r="260" spans="1:18" x14ac:dyDescent="0.3">
      <c r="A260" t="s">
        <v>184</v>
      </c>
      <c r="B260" t="s">
        <v>967</v>
      </c>
      <c r="C260" t="s">
        <v>1458</v>
      </c>
      <c r="D260" t="s">
        <v>1459</v>
      </c>
      <c r="E260">
        <v>4.3</v>
      </c>
      <c r="F260">
        <v>52</v>
      </c>
      <c r="G260">
        <v>138</v>
      </c>
      <c r="H260" s="13" t="s">
        <v>657</v>
      </c>
      <c r="I260" s="13" t="s">
        <v>944</v>
      </c>
      <c r="J260" s="13" t="s">
        <v>799</v>
      </c>
      <c r="K260" s="13" t="s">
        <v>800</v>
      </c>
      <c r="L260" s="13" t="s">
        <v>1688</v>
      </c>
      <c r="M260" s="13" t="s">
        <v>1460</v>
      </c>
      <c r="N260" s="13" t="s">
        <v>1458</v>
      </c>
      <c r="O260" s="13">
        <v>26139470</v>
      </c>
      <c r="P260" s="13" t="s">
        <v>658</v>
      </c>
      <c r="Q260" s="13">
        <v>128.29133100098201</v>
      </c>
      <c r="R260" s="13">
        <v>37.521689792087898</v>
      </c>
    </row>
    <row r="261" spans="1:18" x14ac:dyDescent="0.3">
      <c r="A261" t="s">
        <v>659</v>
      </c>
      <c r="B261" t="s">
        <v>876</v>
      </c>
      <c r="C261" t="s">
        <v>1461</v>
      </c>
      <c r="D261" t="s">
        <v>1462</v>
      </c>
      <c r="E261">
        <v>0</v>
      </c>
      <c r="F261">
        <v>0</v>
      </c>
      <c r="G261">
        <v>0</v>
      </c>
      <c r="H261" s="13" t="s">
        <v>659</v>
      </c>
      <c r="I261" s="13" t="s">
        <v>896</v>
      </c>
      <c r="J261" s="13"/>
      <c r="K261" s="13"/>
      <c r="L261" s="13" t="s">
        <v>1687</v>
      </c>
      <c r="M261" s="13" t="s">
        <v>1463</v>
      </c>
      <c r="N261" s="13"/>
      <c r="O261" s="13">
        <v>17958874</v>
      </c>
      <c r="P261" s="13" t="s">
        <v>660</v>
      </c>
      <c r="Q261" s="13">
        <v>127.818013208593</v>
      </c>
      <c r="R261" s="13">
        <v>37.986787458247299</v>
      </c>
    </row>
    <row r="262" spans="1:18" x14ac:dyDescent="0.3">
      <c r="A262" t="s">
        <v>185</v>
      </c>
      <c r="B262" t="s">
        <v>885</v>
      </c>
      <c r="C262" t="s">
        <v>1464</v>
      </c>
      <c r="D262" t="s">
        <v>1003</v>
      </c>
      <c r="E262">
        <v>4.4000000000000004</v>
      </c>
      <c r="F262">
        <v>87</v>
      </c>
      <c r="G262">
        <v>300</v>
      </c>
      <c r="H262" s="13" t="s">
        <v>185</v>
      </c>
      <c r="I262" s="13" t="s">
        <v>973</v>
      </c>
      <c r="J262" s="13" t="s">
        <v>799</v>
      </c>
      <c r="K262" s="13" t="s">
        <v>800</v>
      </c>
      <c r="L262" s="13" t="s">
        <v>1686</v>
      </c>
      <c r="M262" s="13"/>
      <c r="N262" s="13" t="s">
        <v>1464</v>
      </c>
      <c r="O262" s="13">
        <v>1778342372</v>
      </c>
      <c r="P262" s="13" t="s">
        <v>661</v>
      </c>
      <c r="Q262" s="13">
        <v>129.295083335632</v>
      </c>
      <c r="R262" s="13">
        <v>37.311272235558903</v>
      </c>
    </row>
    <row r="263" spans="1:18" x14ac:dyDescent="0.3">
      <c r="A263" t="s">
        <v>186</v>
      </c>
      <c r="B263" t="s">
        <v>1015</v>
      </c>
      <c r="C263" t="s">
        <v>1465</v>
      </c>
      <c r="D263" t="s">
        <v>1466</v>
      </c>
      <c r="E263">
        <v>4.2</v>
      </c>
      <c r="F263">
        <v>21</v>
      </c>
      <c r="G263">
        <v>58</v>
      </c>
      <c r="H263" s="13" t="s">
        <v>186</v>
      </c>
      <c r="I263" s="13" t="s">
        <v>907</v>
      </c>
      <c r="J263" s="13" t="s">
        <v>908</v>
      </c>
      <c r="K263" s="13" t="s">
        <v>909</v>
      </c>
      <c r="L263" s="13" t="s">
        <v>1685</v>
      </c>
      <c r="M263" s="13"/>
      <c r="N263" s="13" t="s">
        <v>1465</v>
      </c>
      <c r="O263" s="13">
        <v>2109864219</v>
      </c>
      <c r="P263" s="13" t="s">
        <v>662</v>
      </c>
      <c r="Q263" s="13">
        <v>129.15889834812299</v>
      </c>
      <c r="R263" s="13">
        <v>37.476971770399203</v>
      </c>
    </row>
    <row r="264" spans="1:18" x14ac:dyDescent="0.3">
      <c r="A264" t="s">
        <v>187</v>
      </c>
      <c r="B264" t="s">
        <v>1015</v>
      </c>
      <c r="C264" t="s">
        <v>1054</v>
      </c>
      <c r="D264" t="s">
        <v>1467</v>
      </c>
      <c r="E264">
        <v>4.5</v>
      </c>
      <c r="F264">
        <v>210</v>
      </c>
      <c r="G264">
        <v>293</v>
      </c>
      <c r="H264" s="13" t="s">
        <v>187</v>
      </c>
      <c r="I264" s="13" t="s">
        <v>918</v>
      </c>
      <c r="J264" s="13"/>
      <c r="K264" s="13"/>
      <c r="L264" s="13" t="s">
        <v>1684</v>
      </c>
      <c r="M264" s="13"/>
      <c r="N264" s="13" t="s">
        <v>1054</v>
      </c>
      <c r="O264" s="13">
        <v>10838734</v>
      </c>
      <c r="P264" s="13" t="s">
        <v>663</v>
      </c>
      <c r="Q264" s="13">
        <v>129.15986747491201</v>
      </c>
      <c r="R264" s="13">
        <v>37.479224172099201</v>
      </c>
    </row>
    <row r="265" spans="1:18" x14ac:dyDescent="0.3">
      <c r="A265" t="s">
        <v>664</v>
      </c>
      <c r="B265" t="s">
        <v>876</v>
      </c>
      <c r="C265" t="s">
        <v>1468</v>
      </c>
      <c r="D265" t="s">
        <v>1469</v>
      </c>
      <c r="E265">
        <v>4.3</v>
      </c>
      <c r="F265">
        <v>14</v>
      </c>
      <c r="G265">
        <v>53</v>
      </c>
      <c r="H265" s="13"/>
      <c r="I265" s="13"/>
      <c r="J265" s="13"/>
      <c r="K265" s="13"/>
      <c r="M265" s="13"/>
      <c r="N265" s="13"/>
      <c r="O265" s="13"/>
      <c r="P265" s="13"/>
      <c r="Q265" s="13"/>
      <c r="R265" s="13"/>
    </row>
    <row r="266" spans="1:18" x14ac:dyDescent="0.3">
      <c r="A266" t="s">
        <v>188</v>
      </c>
      <c r="B266" t="s">
        <v>876</v>
      </c>
      <c r="C266" t="s">
        <v>1470</v>
      </c>
      <c r="D266" t="s">
        <v>1471</v>
      </c>
      <c r="E266">
        <v>4.4000000000000004</v>
      </c>
      <c r="F266">
        <v>382</v>
      </c>
      <c r="G266">
        <v>38</v>
      </c>
      <c r="H266" s="13" t="s">
        <v>188</v>
      </c>
      <c r="I266" s="13" t="s">
        <v>1129</v>
      </c>
      <c r="J266" s="13"/>
      <c r="K266" s="13"/>
      <c r="L266" s="13" t="s">
        <v>1683</v>
      </c>
      <c r="M266" s="13" t="s">
        <v>1472</v>
      </c>
      <c r="N266" s="13" t="s">
        <v>1473</v>
      </c>
      <c r="O266" s="13">
        <v>1147568611</v>
      </c>
      <c r="P266" s="13" t="s">
        <v>665</v>
      </c>
      <c r="Q266" s="13">
        <v>127.691292787628</v>
      </c>
      <c r="R266" s="13">
        <v>37.864334230023502</v>
      </c>
    </row>
    <row r="267" spans="1:18" x14ac:dyDescent="0.3">
      <c r="A267" t="s">
        <v>666</v>
      </c>
      <c r="B267" t="s">
        <v>832</v>
      </c>
      <c r="C267" t="s">
        <v>1474</v>
      </c>
      <c r="D267" t="s">
        <v>1475</v>
      </c>
      <c r="E267">
        <v>5</v>
      </c>
      <c r="F267">
        <v>9</v>
      </c>
      <c r="G267">
        <v>3</v>
      </c>
      <c r="H267" s="13" t="s">
        <v>666</v>
      </c>
      <c r="I267" s="13" t="s">
        <v>1476</v>
      </c>
      <c r="J267" s="13" t="s">
        <v>799</v>
      </c>
      <c r="K267" s="13" t="s">
        <v>800</v>
      </c>
      <c r="L267" s="13" t="s">
        <v>1682</v>
      </c>
      <c r="M267" s="13"/>
      <c r="N267" s="13"/>
      <c r="O267" s="13">
        <v>1691801060</v>
      </c>
      <c r="P267" s="13" t="s">
        <v>667</v>
      </c>
      <c r="Q267" s="13">
        <v>128.06707394598601</v>
      </c>
      <c r="R267" s="13">
        <v>37.3406446225708</v>
      </c>
    </row>
    <row r="268" spans="1:18" x14ac:dyDescent="0.3">
      <c r="A268" t="s">
        <v>189</v>
      </c>
      <c r="B268" t="s">
        <v>832</v>
      </c>
      <c r="C268" t="s">
        <v>1477</v>
      </c>
      <c r="D268" t="s">
        <v>1478</v>
      </c>
      <c r="E268">
        <v>3.7</v>
      </c>
      <c r="F268">
        <v>21</v>
      </c>
      <c r="G268">
        <v>74</v>
      </c>
      <c r="H268" s="13" t="s">
        <v>189</v>
      </c>
      <c r="I268" s="13" t="s">
        <v>944</v>
      </c>
      <c r="J268" s="13" t="s">
        <v>799</v>
      </c>
      <c r="K268" s="13" t="s">
        <v>800</v>
      </c>
      <c r="L268" s="13" t="s">
        <v>1681</v>
      </c>
      <c r="M268" s="13" t="s">
        <v>1479</v>
      </c>
      <c r="N268" s="13" t="s">
        <v>1477</v>
      </c>
      <c r="O268" s="13">
        <v>8582434</v>
      </c>
      <c r="P268" s="13" t="s">
        <v>668</v>
      </c>
      <c r="Q268" s="13">
        <v>128.031322376796</v>
      </c>
      <c r="R268" s="13">
        <v>37.255821930194699</v>
      </c>
    </row>
    <row r="269" spans="1:18" x14ac:dyDescent="0.3">
      <c r="A269" t="s">
        <v>669</v>
      </c>
      <c r="B269" t="s">
        <v>980</v>
      </c>
      <c r="C269" t="s">
        <v>1480</v>
      </c>
      <c r="D269" t="s">
        <v>1481</v>
      </c>
      <c r="E269">
        <v>0</v>
      </c>
      <c r="F269">
        <v>0</v>
      </c>
      <c r="G269">
        <v>124</v>
      </c>
      <c r="H269" s="13" t="s">
        <v>669</v>
      </c>
      <c r="I269" s="13" t="s">
        <v>958</v>
      </c>
      <c r="J269" s="13"/>
      <c r="K269" s="13"/>
      <c r="L269" s="13" t="s">
        <v>1680</v>
      </c>
      <c r="M269" s="13" t="s">
        <v>1482</v>
      </c>
      <c r="N269" s="13" t="s">
        <v>1480</v>
      </c>
      <c r="O269" s="13">
        <v>666479885</v>
      </c>
      <c r="P269" s="13" t="s">
        <v>670</v>
      </c>
      <c r="Q269" s="13">
        <v>128.24645819433201</v>
      </c>
      <c r="R269" s="13">
        <v>37.279122273416</v>
      </c>
    </row>
    <row r="270" spans="1:18" x14ac:dyDescent="0.3">
      <c r="A270" t="s">
        <v>671</v>
      </c>
      <c r="B270" t="s">
        <v>876</v>
      </c>
      <c r="C270" t="s">
        <v>1483</v>
      </c>
      <c r="D270" t="s">
        <v>1484</v>
      </c>
      <c r="E270">
        <v>4.0999999999999996</v>
      </c>
      <c r="F270">
        <v>11</v>
      </c>
      <c r="G270">
        <v>50</v>
      </c>
      <c r="H270" s="13" t="s">
        <v>671</v>
      </c>
      <c r="I270" s="13" t="s">
        <v>1039</v>
      </c>
      <c r="J270" s="13"/>
      <c r="K270" s="13"/>
      <c r="L270" s="13" t="s">
        <v>1679</v>
      </c>
      <c r="M270" s="13"/>
      <c r="N270" s="13" t="s">
        <v>1483</v>
      </c>
      <c r="O270" s="13">
        <v>1423911353</v>
      </c>
      <c r="P270" s="13" t="s">
        <v>672</v>
      </c>
      <c r="Q270" s="13">
        <v>127.68532870622499</v>
      </c>
      <c r="R270" s="13">
        <v>37.855359746657697</v>
      </c>
    </row>
    <row r="271" spans="1:18" x14ac:dyDescent="0.3">
      <c r="A271" t="s">
        <v>190</v>
      </c>
      <c r="B271" t="s">
        <v>941</v>
      </c>
      <c r="C271" t="s">
        <v>1485</v>
      </c>
      <c r="D271" t="s">
        <v>1486</v>
      </c>
      <c r="E271">
        <v>3.8</v>
      </c>
      <c r="F271">
        <v>29</v>
      </c>
      <c r="G271">
        <v>83</v>
      </c>
      <c r="H271" s="13" t="s">
        <v>190</v>
      </c>
      <c r="I271" s="13" t="s">
        <v>882</v>
      </c>
      <c r="J271" s="13"/>
      <c r="K271" s="13"/>
      <c r="L271" s="13" t="s">
        <v>1678</v>
      </c>
      <c r="M271" s="13"/>
      <c r="N271" s="13" t="s">
        <v>1485</v>
      </c>
      <c r="O271" s="13">
        <v>14752201</v>
      </c>
      <c r="P271" s="13" t="s">
        <v>673</v>
      </c>
      <c r="Q271" s="13">
        <v>128.688400267704</v>
      </c>
      <c r="R271" s="13">
        <v>37.201455848896302</v>
      </c>
    </row>
    <row r="272" spans="1:18" x14ac:dyDescent="0.3">
      <c r="A272" t="s">
        <v>674</v>
      </c>
      <c r="B272" t="s">
        <v>980</v>
      </c>
      <c r="C272" t="s">
        <v>1487</v>
      </c>
      <c r="D272" t="s">
        <v>982</v>
      </c>
      <c r="E272">
        <v>4.2</v>
      </c>
      <c r="F272">
        <v>12</v>
      </c>
      <c r="G272">
        <v>51</v>
      </c>
      <c r="H272" s="13" t="s">
        <v>675</v>
      </c>
      <c r="I272" s="13" t="s">
        <v>810</v>
      </c>
      <c r="J272" s="13" t="s">
        <v>792</v>
      </c>
      <c r="K272" s="13" t="s">
        <v>793</v>
      </c>
      <c r="L272" s="13" t="s">
        <v>1677</v>
      </c>
      <c r="M272" s="13" t="s">
        <v>1488</v>
      </c>
      <c r="N272" s="13" t="s">
        <v>1487</v>
      </c>
      <c r="O272" s="13">
        <v>18896036</v>
      </c>
      <c r="P272" s="13" t="s">
        <v>676</v>
      </c>
      <c r="Q272" s="13">
        <v>128.46690655912499</v>
      </c>
      <c r="R272" s="13">
        <v>37.263084530323603</v>
      </c>
    </row>
    <row r="273" spans="1:18" x14ac:dyDescent="0.3">
      <c r="A273" t="s">
        <v>677</v>
      </c>
      <c r="B273" t="s">
        <v>967</v>
      </c>
      <c r="C273" t="s">
        <v>1489</v>
      </c>
      <c r="D273" t="s">
        <v>1490</v>
      </c>
      <c r="E273">
        <v>4.2</v>
      </c>
      <c r="F273">
        <v>18</v>
      </c>
      <c r="G273">
        <v>75</v>
      </c>
      <c r="H273" s="13" t="s">
        <v>677</v>
      </c>
      <c r="I273" s="13" t="s">
        <v>1059</v>
      </c>
      <c r="J273" s="13" t="s">
        <v>799</v>
      </c>
      <c r="K273" s="13" t="s">
        <v>800</v>
      </c>
      <c r="L273" s="13" t="s">
        <v>1676</v>
      </c>
      <c r="M273" s="13"/>
      <c r="N273" s="13"/>
      <c r="O273" s="13">
        <v>15166415</v>
      </c>
      <c r="P273" s="13" t="s">
        <v>678</v>
      </c>
      <c r="Q273" s="13">
        <v>128.28546889909299</v>
      </c>
      <c r="R273" s="13">
        <v>37.6018137926999</v>
      </c>
    </row>
    <row r="274" spans="1:18" x14ac:dyDescent="0.3">
      <c r="A274" t="s">
        <v>191</v>
      </c>
      <c r="B274" t="s">
        <v>967</v>
      </c>
      <c r="C274" t="s">
        <v>1489</v>
      </c>
      <c r="D274" t="s">
        <v>1302</v>
      </c>
      <c r="E274">
        <v>3.6</v>
      </c>
      <c r="F274">
        <v>21</v>
      </c>
      <c r="G274">
        <v>0</v>
      </c>
      <c r="H274" s="13" t="s">
        <v>191</v>
      </c>
      <c r="I274" s="13" t="s">
        <v>925</v>
      </c>
      <c r="J274" s="13" t="s">
        <v>799</v>
      </c>
      <c r="K274" s="13" t="s">
        <v>800</v>
      </c>
      <c r="L274" s="13" t="s">
        <v>1676</v>
      </c>
      <c r="M274" s="13" t="s">
        <v>1491</v>
      </c>
      <c r="N274" s="13"/>
      <c r="O274" s="13">
        <v>8112646</v>
      </c>
      <c r="P274" s="13" t="s">
        <v>679</v>
      </c>
      <c r="Q274" s="13">
        <v>128.28135538216401</v>
      </c>
      <c r="R274" s="13">
        <v>37.604210865987298</v>
      </c>
    </row>
    <row r="275" spans="1:18" x14ac:dyDescent="0.3">
      <c r="A275" t="s">
        <v>680</v>
      </c>
      <c r="B275" t="s">
        <v>1492</v>
      </c>
      <c r="E275">
        <v>4.8</v>
      </c>
      <c r="F275">
        <v>4</v>
      </c>
      <c r="G275">
        <v>1</v>
      </c>
      <c r="H275" s="13" t="s">
        <v>680</v>
      </c>
      <c r="I275" s="13" t="s">
        <v>896</v>
      </c>
      <c r="J275" s="13"/>
      <c r="K275" s="13"/>
      <c r="L275" s="13" t="s">
        <v>1676</v>
      </c>
      <c r="M275" s="13"/>
      <c r="N275" s="13"/>
      <c r="O275" s="13">
        <v>26953117</v>
      </c>
      <c r="P275" s="13" t="s">
        <v>681</v>
      </c>
      <c r="Q275" s="13">
        <v>128.279028771273</v>
      </c>
      <c r="R275" s="13">
        <v>37.608007408984598</v>
      </c>
    </row>
    <row r="276" spans="1:18" x14ac:dyDescent="0.3">
      <c r="A276" t="s">
        <v>192</v>
      </c>
      <c r="B276" t="s">
        <v>795</v>
      </c>
      <c r="C276" t="s">
        <v>1493</v>
      </c>
      <c r="D276" t="s">
        <v>1494</v>
      </c>
      <c r="E276">
        <v>5</v>
      </c>
      <c r="F276">
        <v>8</v>
      </c>
      <c r="G276">
        <v>6</v>
      </c>
      <c r="H276" s="13" t="s">
        <v>192</v>
      </c>
      <c r="I276" s="13" t="s">
        <v>1476</v>
      </c>
      <c r="J276" s="13" t="s">
        <v>799</v>
      </c>
      <c r="K276" s="13" t="s">
        <v>800</v>
      </c>
      <c r="L276" s="13" t="s">
        <v>1675</v>
      </c>
      <c r="M276" s="13"/>
      <c r="N276" s="13"/>
      <c r="O276" s="13">
        <v>1654875200</v>
      </c>
      <c r="P276" s="13" t="s">
        <v>682</v>
      </c>
      <c r="Q276" s="13">
        <v>128.93020313318999</v>
      </c>
      <c r="R276" s="13">
        <v>37.123246707936403</v>
      </c>
    </row>
    <row r="277" spans="1:18" x14ac:dyDescent="0.3">
      <c r="A277" t="s">
        <v>193</v>
      </c>
      <c r="B277" t="s">
        <v>795</v>
      </c>
      <c r="C277" t="s">
        <v>1495</v>
      </c>
      <c r="D277" t="s">
        <v>1496</v>
      </c>
      <c r="E277">
        <v>4.7</v>
      </c>
      <c r="F277">
        <v>52</v>
      </c>
      <c r="G277">
        <v>175</v>
      </c>
      <c r="H277" s="13" t="s">
        <v>193</v>
      </c>
      <c r="I277" s="13" t="s">
        <v>810</v>
      </c>
      <c r="J277" s="13" t="s">
        <v>792</v>
      </c>
      <c r="K277" s="13" t="s">
        <v>793</v>
      </c>
      <c r="L277" s="13" t="s">
        <v>1674</v>
      </c>
      <c r="M277" s="13" t="s">
        <v>1497</v>
      </c>
      <c r="N277" s="13" t="s">
        <v>1498</v>
      </c>
      <c r="O277" s="13">
        <v>8108945</v>
      </c>
      <c r="P277" s="13" t="s">
        <v>683</v>
      </c>
      <c r="Q277" s="13">
        <v>128.950472148975</v>
      </c>
      <c r="R277" s="13">
        <v>37.1174804932567</v>
      </c>
    </row>
    <row r="278" spans="1:18" x14ac:dyDescent="0.3">
      <c r="A278" t="s">
        <v>684</v>
      </c>
      <c r="B278" t="s">
        <v>795</v>
      </c>
      <c r="C278" t="s">
        <v>1499</v>
      </c>
      <c r="D278" t="s">
        <v>939</v>
      </c>
      <c r="E278">
        <v>4.5</v>
      </c>
      <c r="F278">
        <v>6</v>
      </c>
      <c r="G278">
        <v>20</v>
      </c>
      <c r="H278" s="13" t="s">
        <v>684</v>
      </c>
      <c r="I278" s="13" t="s">
        <v>1171</v>
      </c>
      <c r="J278" s="13"/>
      <c r="K278" s="13"/>
      <c r="L278" s="13" t="s">
        <v>1673</v>
      </c>
      <c r="M278" s="13" t="s">
        <v>1500</v>
      </c>
      <c r="N278" s="13" t="s">
        <v>1499</v>
      </c>
      <c r="O278" s="13">
        <v>9502192</v>
      </c>
      <c r="P278" s="13" t="s">
        <v>685</v>
      </c>
      <c r="Q278" s="13">
        <v>128.97287374492899</v>
      </c>
      <c r="R278" s="13">
        <v>37.133709098170797</v>
      </c>
    </row>
    <row r="279" spans="1:18" x14ac:dyDescent="0.3">
      <c r="A279" t="s">
        <v>686</v>
      </c>
      <c r="B279" t="s">
        <v>955</v>
      </c>
      <c r="C279" t="s">
        <v>1501</v>
      </c>
      <c r="D279" t="s">
        <v>1502</v>
      </c>
      <c r="E279">
        <v>4.4000000000000004</v>
      </c>
      <c r="F279">
        <v>14</v>
      </c>
      <c r="G279">
        <v>20</v>
      </c>
      <c r="H279" s="13" t="s">
        <v>686</v>
      </c>
      <c r="I279" s="13" t="s">
        <v>1171</v>
      </c>
      <c r="J279" s="13"/>
      <c r="K279" s="13"/>
      <c r="L279" s="13" t="s">
        <v>1672</v>
      </c>
      <c r="M279" s="13" t="s">
        <v>1503</v>
      </c>
      <c r="N279" s="13" t="s">
        <v>1504</v>
      </c>
      <c r="O279" s="13">
        <v>27136433</v>
      </c>
      <c r="P279" s="13" t="s">
        <v>687</v>
      </c>
      <c r="Q279" s="13">
        <v>128.51548032025099</v>
      </c>
      <c r="R279" s="13">
        <v>38.205632769884801</v>
      </c>
    </row>
    <row r="280" spans="1:18" x14ac:dyDescent="0.3">
      <c r="A280" t="s">
        <v>194</v>
      </c>
      <c r="B280" t="s">
        <v>817</v>
      </c>
      <c r="C280" t="s">
        <v>1505</v>
      </c>
      <c r="D280" t="s">
        <v>975</v>
      </c>
      <c r="E280">
        <v>4.3</v>
      </c>
      <c r="F280">
        <v>10</v>
      </c>
      <c r="G280">
        <v>60</v>
      </c>
      <c r="H280" s="13" t="s">
        <v>194</v>
      </c>
      <c r="I280" s="13" t="s">
        <v>815</v>
      </c>
      <c r="J280" s="13"/>
      <c r="K280" s="13"/>
      <c r="L280" s="13" t="s">
        <v>1671</v>
      </c>
      <c r="M280" s="13"/>
      <c r="N280" s="13"/>
      <c r="O280" s="13">
        <v>1232921652</v>
      </c>
      <c r="P280" s="13" t="s">
        <v>688</v>
      </c>
      <c r="Q280" s="13">
        <v>127.98688620936301</v>
      </c>
      <c r="R280" s="13">
        <v>38.119183603774403</v>
      </c>
    </row>
    <row r="281" spans="1:18" x14ac:dyDescent="0.3">
      <c r="A281" t="s">
        <v>689</v>
      </c>
      <c r="B281" t="s">
        <v>894</v>
      </c>
      <c r="C281" t="s">
        <v>895</v>
      </c>
      <c r="E281">
        <v>2</v>
      </c>
      <c r="F281">
        <v>1</v>
      </c>
      <c r="G281">
        <v>0</v>
      </c>
      <c r="H281" s="13" t="s">
        <v>689</v>
      </c>
      <c r="I281" s="13" t="s">
        <v>973</v>
      </c>
      <c r="J281" s="13" t="s">
        <v>799</v>
      </c>
      <c r="K281" s="13" t="s">
        <v>800</v>
      </c>
      <c r="L281" s="13" t="s">
        <v>1670</v>
      </c>
      <c r="M281" s="13"/>
      <c r="N281" s="13"/>
      <c r="O281" s="13">
        <v>397125585</v>
      </c>
      <c r="P281" s="13" t="s">
        <v>690</v>
      </c>
      <c r="Q281" s="13">
        <v>127.711567097808</v>
      </c>
      <c r="R281" s="13">
        <v>38.099191970946997</v>
      </c>
    </row>
    <row r="282" spans="1:18" x14ac:dyDescent="0.3">
      <c r="A282" t="s">
        <v>691</v>
      </c>
      <c r="B282" t="s">
        <v>894</v>
      </c>
      <c r="C282" t="s">
        <v>1506</v>
      </c>
      <c r="E282">
        <v>4.8</v>
      </c>
      <c r="F282">
        <v>5</v>
      </c>
      <c r="G282">
        <v>1</v>
      </c>
      <c r="H282" s="13" t="s">
        <v>691</v>
      </c>
      <c r="I282" s="13" t="s">
        <v>896</v>
      </c>
      <c r="J282" s="13"/>
      <c r="K282" s="13"/>
      <c r="L282" s="13" t="s">
        <v>1669</v>
      </c>
      <c r="M282" s="13" t="s">
        <v>1507</v>
      </c>
      <c r="N282" s="13"/>
      <c r="O282" s="13">
        <v>26953044</v>
      </c>
      <c r="P282" s="13" t="s">
        <v>692</v>
      </c>
      <c r="Q282" s="13">
        <v>127.776592375569</v>
      </c>
      <c r="R282" s="13">
        <v>38.095900938682597</v>
      </c>
    </row>
    <row r="283" spans="1:18" x14ac:dyDescent="0.3">
      <c r="A283" t="s">
        <v>195</v>
      </c>
      <c r="B283" t="s">
        <v>822</v>
      </c>
      <c r="C283" t="s">
        <v>1508</v>
      </c>
      <c r="D283" t="s">
        <v>824</v>
      </c>
      <c r="E283">
        <v>4.2</v>
      </c>
      <c r="F283">
        <v>15</v>
      </c>
      <c r="G283">
        <v>61</v>
      </c>
      <c r="H283" s="13" t="s">
        <v>195</v>
      </c>
      <c r="I283" s="13" t="s">
        <v>896</v>
      </c>
      <c r="J283" s="13"/>
      <c r="K283" s="13"/>
      <c r="L283" s="13" t="s">
        <v>1668</v>
      </c>
      <c r="M283" s="13" t="s">
        <v>1509</v>
      </c>
      <c r="N283" s="13" t="s">
        <v>1510</v>
      </c>
      <c r="O283" s="13">
        <v>17384874</v>
      </c>
      <c r="P283" s="13" t="s">
        <v>693</v>
      </c>
      <c r="Q283" s="13">
        <v>127.695496091056</v>
      </c>
      <c r="R283" s="13">
        <v>37.701856287263901</v>
      </c>
    </row>
    <row r="284" spans="1:18" x14ac:dyDescent="0.3">
      <c r="A284" t="s">
        <v>694</v>
      </c>
      <c r="B284" t="s">
        <v>980</v>
      </c>
      <c r="C284" t="s">
        <v>1511</v>
      </c>
      <c r="E284">
        <v>3.1</v>
      </c>
      <c r="F284">
        <v>10</v>
      </c>
      <c r="G284">
        <v>39</v>
      </c>
      <c r="H284" s="13" t="s">
        <v>694</v>
      </c>
      <c r="I284" s="13" t="s">
        <v>798</v>
      </c>
      <c r="J284" s="13" t="s">
        <v>799</v>
      </c>
      <c r="K284" s="13" t="s">
        <v>800</v>
      </c>
      <c r="L284" s="13" t="s">
        <v>1667</v>
      </c>
      <c r="M284" s="13"/>
      <c r="N284" s="13" t="s">
        <v>1512</v>
      </c>
      <c r="O284" s="13">
        <v>583492333</v>
      </c>
      <c r="P284" s="13" t="s">
        <v>695</v>
      </c>
      <c r="Q284" s="13">
        <v>128.40178555593701</v>
      </c>
      <c r="R284" s="13">
        <v>37.174586911041999</v>
      </c>
    </row>
    <row r="285" spans="1:18" x14ac:dyDescent="0.3">
      <c r="A285" t="s">
        <v>696</v>
      </c>
      <c r="B285" t="s">
        <v>788</v>
      </c>
      <c r="C285" t="s">
        <v>1086</v>
      </c>
      <c r="D285" t="s">
        <v>1087</v>
      </c>
      <c r="E285">
        <v>3.3</v>
      </c>
      <c r="F285">
        <v>15</v>
      </c>
      <c r="G285">
        <v>82</v>
      </c>
      <c r="H285" s="13" t="s">
        <v>393</v>
      </c>
      <c r="I285" s="13" t="s">
        <v>989</v>
      </c>
      <c r="J285" s="13" t="s">
        <v>792</v>
      </c>
      <c r="K285" s="13" t="s">
        <v>793</v>
      </c>
      <c r="L285" s="13" t="s">
        <v>1666</v>
      </c>
      <c r="M285" s="13" t="s">
        <v>1088</v>
      </c>
      <c r="N285" s="13" t="s">
        <v>1086</v>
      </c>
      <c r="O285" s="13">
        <v>8574564</v>
      </c>
      <c r="P285" s="13" t="s">
        <v>394</v>
      </c>
      <c r="Q285" s="13">
        <v>128.34887415429</v>
      </c>
      <c r="R285" s="13">
        <v>37.615793828386003</v>
      </c>
    </row>
    <row r="286" spans="1:18" x14ac:dyDescent="0.3">
      <c r="A286" t="s">
        <v>697</v>
      </c>
      <c r="B286" t="s">
        <v>788</v>
      </c>
      <c r="C286" t="s">
        <v>1513</v>
      </c>
      <c r="D286" t="s">
        <v>1514</v>
      </c>
      <c r="E286">
        <v>2.9</v>
      </c>
      <c r="F286">
        <v>29</v>
      </c>
      <c r="G286">
        <v>133</v>
      </c>
      <c r="H286" s="13" t="s">
        <v>698</v>
      </c>
      <c r="I286" s="13" t="s">
        <v>1171</v>
      </c>
      <c r="J286" s="13"/>
      <c r="K286" s="13"/>
      <c r="L286" s="13" t="s">
        <v>1665</v>
      </c>
      <c r="M286" s="13" t="s">
        <v>1515</v>
      </c>
      <c r="N286" s="13" t="s">
        <v>1513</v>
      </c>
      <c r="O286" s="13">
        <v>1822043453</v>
      </c>
      <c r="P286" s="13" t="s">
        <v>699</v>
      </c>
      <c r="Q286" s="13">
        <v>128.503557663321</v>
      </c>
      <c r="R286" s="13">
        <v>37.693551203914303</v>
      </c>
    </row>
    <row r="287" spans="1:18" x14ac:dyDescent="0.3">
      <c r="A287" t="s">
        <v>196</v>
      </c>
      <c r="B287" t="s">
        <v>894</v>
      </c>
      <c r="C287" t="s">
        <v>895</v>
      </c>
      <c r="E287">
        <v>3.9</v>
      </c>
      <c r="F287">
        <v>18</v>
      </c>
      <c r="G287">
        <v>25</v>
      </c>
      <c r="H287" s="13" t="s">
        <v>700</v>
      </c>
      <c r="I287" s="13" t="s">
        <v>907</v>
      </c>
      <c r="J287" s="13" t="s">
        <v>908</v>
      </c>
      <c r="K287" s="13" t="s">
        <v>909</v>
      </c>
      <c r="L287" s="13" t="s">
        <v>1664</v>
      </c>
      <c r="M287" s="13" t="s">
        <v>1516</v>
      </c>
      <c r="N287" s="13" t="s">
        <v>1517</v>
      </c>
      <c r="O287" s="13">
        <v>12611296</v>
      </c>
      <c r="P287" s="13" t="s">
        <v>701</v>
      </c>
      <c r="Q287" s="13">
        <v>127.850113219573</v>
      </c>
      <c r="R287" s="13">
        <v>38.206523102919299</v>
      </c>
    </row>
    <row r="288" spans="1:18" x14ac:dyDescent="0.3">
      <c r="A288" t="s">
        <v>702</v>
      </c>
      <c r="B288" t="s">
        <v>1518</v>
      </c>
      <c r="E288">
        <v>5</v>
      </c>
      <c r="F288">
        <v>5</v>
      </c>
      <c r="G288">
        <v>8</v>
      </c>
      <c r="H288" s="13" t="s">
        <v>702</v>
      </c>
      <c r="I288" s="13" t="s">
        <v>1519</v>
      </c>
      <c r="J288" s="13" t="s">
        <v>799</v>
      </c>
      <c r="K288" s="13" t="s">
        <v>800</v>
      </c>
      <c r="L288" s="13" t="s">
        <v>1663</v>
      </c>
      <c r="M288" s="13"/>
      <c r="N288" s="13"/>
      <c r="O288" s="13">
        <v>15145421</v>
      </c>
      <c r="P288" s="13" t="s">
        <v>703</v>
      </c>
      <c r="Q288" s="13">
        <v>128.77043237107699</v>
      </c>
      <c r="R288" s="13">
        <v>37.950780186012899</v>
      </c>
    </row>
    <row r="289" spans="1:18" x14ac:dyDescent="0.3">
      <c r="A289" t="s">
        <v>197</v>
      </c>
      <c r="B289" t="s">
        <v>967</v>
      </c>
      <c r="C289" t="s">
        <v>1520</v>
      </c>
      <c r="D289" t="s">
        <v>1521</v>
      </c>
      <c r="E289">
        <v>4.5999999999999996</v>
      </c>
      <c r="F289">
        <v>37</v>
      </c>
      <c r="G289">
        <v>140</v>
      </c>
      <c r="H289" s="13" t="s">
        <v>704</v>
      </c>
      <c r="I289" s="13" t="s">
        <v>1361</v>
      </c>
      <c r="J289" s="13"/>
      <c r="K289" s="13"/>
      <c r="L289" s="13" t="s">
        <v>1662</v>
      </c>
      <c r="M289" s="13" t="s">
        <v>1522</v>
      </c>
      <c r="N289" s="13" t="s">
        <v>1520</v>
      </c>
      <c r="O289" s="13">
        <v>8119283</v>
      </c>
      <c r="P289" s="13" t="s">
        <v>705</v>
      </c>
      <c r="Q289" s="13">
        <v>127.81867772381599</v>
      </c>
      <c r="R289" s="13">
        <v>37.529182881665598</v>
      </c>
    </row>
    <row r="290" spans="1:18" x14ac:dyDescent="0.3">
      <c r="A290" t="s">
        <v>198</v>
      </c>
      <c r="B290" t="s">
        <v>1523</v>
      </c>
      <c r="C290" t="s">
        <v>1524</v>
      </c>
      <c r="E290">
        <v>4.2</v>
      </c>
      <c r="F290">
        <v>10</v>
      </c>
      <c r="G290">
        <v>32</v>
      </c>
      <c r="H290" s="13" t="s">
        <v>198</v>
      </c>
      <c r="I290" s="13" t="s">
        <v>810</v>
      </c>
      <c r="J290" s="13" t="s">
        <v>792</v>
      </c>
      <c r="K290" s="13" t="s">
        <v>793</v>
      </c>
      <c r="L290" s="13" t="s">
        <v>1661</v>
      </c>
      <c r="M290" s="13" t="s">
        <v>1525</v>
      </c>
      <c r="N290" s="13" t="s">
        <v>1524</v>
      </c>
      <c r="O290" s="13">
        <v>1219250209</v>
      </c>
      <c r="P290" s="13" t="s">
        <v>706</v>
      </c>
      <c r="Q290" s="13">
        <v>128.582035529444</v>
      </c>
      <c r="R290" s="13">
        <v>38.191050438454603</v>
      </c>
    </row>
    <row r="291" spans="1:18" x14ac:dyDescent="0.3">
      <c r="A291" t="s">
        <v>707</v>
      </c>
      <c r="B291" t="s">
        <v>1523</v>
      </c>
      <c r="C291" t="s">
        <v>1526</v>
      </c>
      <c r="E291">
        <v>5</v>
      </c>
      <c r="F291">
        <v>5</v>
      </c>
      <c r="G291">
        <v>11</v>
      </c>
      <c r="H291" s="13" t="s">
        <v>707</v>
      </c>
      <c r="I291" s="13" t="s">
        <v>810</v>
      </c>
      <c r="J291" s="13" t="s">
        <v>792</v>
      </c>
      <c r="K291" s="13" t="s">
        <v>793</v>
      </c>
      <c r="L291" s="13" t="s">
        <v>1661</v>
      </c>
      <c r="M291" s="13" t="s">
        <v>1525</v>
      </c>
      <c r="N291" s="13" t="s">
        <v>1526</v>
      </c>
      <c r="O291" s="13">
        <v>1219060080</v>
      </c>
      <c r="P291" s="13" t="s">
        <v>708</v>
      </c>
      <c r="Q291" s="13">
        <v>128.582407500035</v>
      </c>
      <c r="R291" s="13">
        <v>38.190833732466501</v>
      </c>
    </row>
    <row r="292" spans="1:18" x14ac:dyDescent="0.3">
      <c r="A292" t="s">
        <v>199</v>
      </c>
      <c r="B292" t="s">
        <v>955</v>
      </c>
      <c r="C292" t="s">
        <v>1527</v>
      </c>
      <c r="D292" t="s">
        <v>1528</v>
      </c>
      <c r="E292">
        <v>3.5</v>
      </c>
      <c r="F292">
        <v>58</v>
      </c>
      <c r="G292">
        <v>176</v>
      </c>
      <c r="H292" s="13" t="s">
        <v>199</v>
      </c>
      <c r="I292" s="13" t="s">
        <v>925</v>
      </c>
      <c r="J292" s="13" t="s">
        <v>799</v>
      </c>
      <c r="K292" s="13" t="s">
        <v>800</v>
      </c>
      <c r="L292" s="13" t="s">
        <v>1660</v>
      </c>
      <c r="M292" s="13"/>
      <c r="N292" s="13" t="s">
        <v>1527</v>
      </c>
      <c r="O292" s="13">
        <v>12697671</v>
      </c>
      <c r="P292" s="13" t="s">
        <v>709</v>
      </c>
      <c r="Q292" s="13">
        <v>128.58344153100899</v>
      </c>
      <c r="R292" s="13">
        <v>38.191568368951202</v>
      </c>
    </row>
    <row r="293" spans="1:18" x14ac:dyDescent="0.3">
      <c r="A293" t="s">
        <v>710</v>
      </c>
      <c r="B293" t="s">
        <v>832</v>
      </c>
      <c r="C293" t="s">
        <v>1529</v>
      </c>
      <c r="D293" t="s">
        <v>1530</v>
      </c>
      <c r="E293">
        <v>3.1</v>
      </c>
      <c r="F293">
        <v>34</v>
      </c>
      <c r="G293">
        <v>324</v>
      </c>
      <c r="H293" s="13" t="s">
        <v>711</v>
      </c>
      <c r="I293" s="13" t="s">
        <v>1044</v>
      </c>
      <c r="J293" s="13" t="s">
        <v>908</v>
      </c>
      <c r="K293" s="13" t="s">
        <v>909</v>
      </c>
      <c r="L293" s="13" t="s">
        <v>1659</v>
      </c>
      <c r="M293" s="13" t="s">
        <v>1531</v>
      </c>
      <c r="N293" s="13" t="s">
        <v>1532</v>
      </c>
      <c r="O293" s="13">
        <v>1523943853</v>
      </c>
      <c r="P293" s="13" t="s">
        <v>712</v>
      </c>
      <c r="Q293" s="13">
        <v>128.16383428816101</v>
      </c>
      <c r="R293" s="13">
        <v>37.259965153284497</v>
      </c>
    </row>
    <row r="294" spans="1:18" x14ac:dyDescent="0.3">
      <c r="A294" t="s">
        <v>200</v>
      </c>
      <c r="B294" t="s">
        <v>838</v>
      </c>
      <c r="C294" t="s">
        <v>1533</v>
      </c>
      <c r="D294" t="s">
        <v>840</v>
      </c>
      <c r="E294">
        <v>4.4000000000000004</v>
      </c>
      <c r="F294">
        <v>92</v>
      </c>
      <c r="G294">
        <v>91</v>
      </c>
      <c r="H294" s="13" t="s">
        <v>200</v>
      </c>
      <c r="I294" s="13" t="s">
        <v>896</v>
      </c>
      <c r="J294" s="13"/>
      <c r="K294" s="13"/>
      <c r="L294" s="13" t="s">
        <v>1658</v>
      </c>
      <c r="M294" s="13" t="s">
        <v>1534</v>
      </c>
      <c r="N294" s="13"/>
      <c r="O294" s="13">
        <v>10866772</v>
      </c>
      <c r="P294" s="13" t="s">
        <v>713</v>
      </c>
      <c r="Q294" s="13">
        <v>128.73489724928899</v>
      </c>
      <c r="R294" s="13">
        <v>38.021098838753602</v>
      </c>
    </row>
    <row r="295" spans="1:18" x14ac:dyDescent="0.3">
      <c r="A295" t="s">
        <v>201</v>
      </c>
      <c r="B295" t="s">
        <v>838</v>
      </c>
      <c r="C295" t="s">
        <v>1533</v>
      </c>
      <c r="D295" t="s">
        <v>840</v>
      </c>
      <c r="E295">
        <v>4.5</v>
      </c>
      <c r="F295">
        <v>81</v>
      </c>
      <c r="G295">
        <v>100</v>
      </c>
      <c r="H295" s="13" t="s">
        <v>201</v>
      </c>
      <c r="I295" s="13" t="s">
        <v>925</v>
      </c>
      <c r="J295" s="13" t="s">
        <v>799</v>
      </c>
      <c r="K295" s="13" t="s">
        <v>800</v>
      </c>
      <c r="L295" s="13" t="s">
        <v>1657</v>
      </c>
      <c r="M295" s="13"/>
      <c r="N295" s="13"/>
      <c r="O295" s="13">
        <v>24994634</v>
      </c>
      <c r="P295" s="13" t="s">
        <v>714</v>
      </c>
      <c r="Q295" s="13">
        <v>128.72910352909099</v>
      </c>
      <c r="R295" s="13">
        <v>38.022412931294298</v>
      </c>
    </row>
    <row r="296" spans="1:18" x14ac:dyDescent="0.3">
      <c r="A296" t="s">
        <v>202</v>
      </c>
      <c r="B296" t="s">
        <v>929</v>
      </c>
      <c r="C296" t="s">
        <v>1535</v>
      </c>
      <c r="D296" t="s">
        <v>1536</v>
      </c>
      <c r="E296">
        <v>3.9</v>
      </c>
      <c r="F296">
        <v>15</v>
      </c>
      <c r="G296">
        <v>35</v>
      </c>
      <c r="H296" s="13" t="s">
        <v>715</v>
      </c>
      <c r="I296" s="13" t="s">
        <v>944</v>
      </c>
      <c r="J296" s="13" t="s">
        <v>799</v>
      </c>
      <c r="K296" s="13" t="s">
        <v>800</v>
      </c>
      <c r="L296" s="13" t="s">
        <v>1656</v>
      </c>
      <c r="M296" s="13" t="s">
        <v>1537</v>
      </c>
      <c r="N296" s="13" t="s">
        <v>1535</v>
      </c>
      <c r="O296" s="13">
        <v>8655510</v>
      </c>
      <c r="P296" s="13" t="s">
        <v>716</v>
      </c>
      <c r="Q296" s="13">
        <v>128.32016673868301</v>
      </c>
      <c r="R296" s="13">
        <v>38.034719150532702</v>
      </c>
    </row>
    <row r="297" spans="1:18" x14ac:dyDescent="0.3">
      <c r="A297" t="s">
        <v>203</v>
      </c>
      <c r="B297" t="s">
        <v>813</v>
      </c>
      <c r="C297" t="s">
        <v>1081</v>
      </c>
      <c r="E297">
        <v>4.3</v>
      </c>
      <c r="F297">
        <v>12</v>
      </c>
      <c r="G297">
        <v>13</v>
      </c>
      <c r="H297" s="13" t="s">
        <v>203</v>
      </c>
      <c r="I297" s="13" t="s">
        <v>1519</v>
      </c>
      <c r="J297" s="13" t="s">
        <v>799</v>
      </c>
      <c r="K297" s="13" t="s">
        <v>800</v>
      </c>
      <c r="L297" s="13" t="s">
        <v>1655</v>
      </c>
      <c r="M297" s="13"/>
      <c r="N297" s="13"/>
      <c r="O297" s="13">
        <v>8628089</v>
      </c>
      <c r="P297" s="13" t="s">
        <v>717</v>
      </c>
      <c r="Q297" s="13">
        <v>127.229863131345</v>
      </c>
      <c r="R297" s="13">
        <v>38.233767769619199</v>
      </c>
    </row>
    <row r="298" spans="1:18" x14ac:dyDescent="0.3">
      <c r="A298" t="s">
        <v>204</v>
      </c>
      <c r="B298" t="s">
        <v>795</v>
      </c>
      <c r="C298" t="s">
        <v>938</v>
      </c>
      <c r="D298" t="s">
        <v>1538</v>
      </c>
      <c r="E298">
        <v>4.5999999999999996</v>
      </c>
      <c r="F298">
        <v>29</v>
      </c>
      <c r="G298">
        <v>50</v>
      </c>
      <c r="H298" s="13" t="s">
        <v>718</v>
      </c>
      <c r="I298" s="13" t="s">
        <v>896</v>
      </c>
      <c r="J298" s="13"/>
      <c r="K298" s="13"/>
      <c r="L298" s="13" t="s">
        <v>1654</v>
      </c>
      <c r="M298" s="13"/>
      <c r="N298" s="13"/>
      <c r="O298" s="13">
        <v>10171013</v>
      </c>
      <c r="P298" s="13" t="s">
        <v>719</v>
      </c>
      <c r="Q298" s="13">
        <v>128.92419677204501</v>
      </c>
      <c r="R298" s="13">
        <v>37.227600339481498</v>
      </c>
    </row>
    <row r="299" spans="1:18" x14ac:dyDescent="0.3">
      <c r="A299" t="s">
        <v>720</v>
      </c>
      <c r="B299" t="s">
        <v>929</v>
      </c>
      <c r="C299" t="s">
        <v>1539</v>
      </c>
      <c r="D299" t="s">
        <v>1540</v>
      </c>
      <c r="E299">
        <v>0</v>
      </c>
      <c r="F299">
        <v>0</v>
      </c>
      <c r="G299">
        <v>35</v>
      </c>
      <c r="H299" s="13" t="s">
        <v>720</v>
      </c>
      <c r="I299" s="13" t="s">
        <v>1171</v>
      </c>
      <c r="J299" s="13"/>
      <c r="K299" s="13"/>
      <c r="L299" s="13" t="s">
        <v>1653</v>
      </c>
      <c r="M299" s="13" t="s">
        <v>1541</v>
      </c>
      <c r="N299" s="13" t="s">
        <v>1539</v>
      </c>
      <c r="O299" s="13">
        <v>11436633</v>
      </c>
      <c r="P299" s="13" t="s">
        <v>721</v>
      </c>
      <c r="Q299" s="13">
        <v>128.208004402819</v>
      </c>
      <c r="R299" s="13">
        <v>38.240228671560303</v>
      </c>
    </row>
    <row r="300" spans="1:18" x14ac:dyDescent="0.3">
      <c r="A300" t="s">
        <v>722</v>
      </c>
      <c r="B300" t="s">
        <v>929</v>
      </c>
      <c r="C300" t="s">
        <v>1542</v>
      </c>
      <c r="D300" t="s">
        <v>1543</v>
      </c>
      <c r="E300">
        <v>5</v>
      </c>
      <c r="F300">
        <v>3</v>
      </c>
      <c r="G300">
        <v>49</v>
      </c>
      <c r="H300" s="13" t="s">
        <v>722</v>
      </c>
      <c r="I300" s="13" t="s">
        <v>810</v>
      </c>
      <c r="J300" s="13" t="s">
        <v>792</v>
      </c>
      <c r="K300" s="13" t="s">
        <v>793</v>
      </c>
      <c r="L300" s="13" t="s">
        <v>1652</v>
      </c>
      <c r="M300" s="13" t="s">
        <v>1544</v>
      </c>
      <c r="N300" s="13" t="s">
        <v>1542</v>
      </c>
      <c r="O300" s="13">
        <v>26577924</v>
      </c>
      <c r="P300" s="13" t="s">
        <v>723</v>
      </c>
      <c r="Q300" s="13">
        <v>128.318469691818</v>
      </c>
      <c r="R300" s="13">
        <v>38.188635750974903</v>
      </c>
    </row>
    <row r="301" spans="1:18" x14ac:dyDescent="0.3">
      <c r="A301" t="s">
        <v>205</v>
      </c>
      <c r="B301" t="s">
        <v>817</v>
      </c>
      <c r="C301" t="s">
        <v>1545</v>
      </c>
      <c r="D301" t="s">
        <v>975</v>
      </c>
      <c r="E301">
        <v>4</v>
      </c>
      <c r="F301">
        <v>62</v>
      </c>
      <c r="G301">
        <v>102</v>
      </c>
      <c r="H301" s="13" t="s">
        <v>205</v>
      </c>
      <c r="I301" s="13" t="s">
        <v>1147</v>
      </c>
      <c r="J301" s="13" t="s">
        <v>799</v>
      </c>
      <c r="K301" s="13" t="s">
        <v>800</v>
      </c>
      <c r="L301" s="13" t="s">
        <v>1651</v>
      </c>
      <c r="M301" s="13" t="s">
        <v>1546</v>
      </c>
      <c r="N301" s="13"/>
      <c r="O301" s="13">
        <v>8599511</v>
      </c>
      <c r="P301" s="13" t="s">
        <v>724</v>
      </c>
      <c r="Q301" s="13">
        <v>127.982760869518</v>
      </c>
      <c r="R301" s="13">
        <v>38.130612497991002</v>
      </c>
    </row>
    <row r="302" spans="1:18" x14ac:dyDescent="0.3">
      <c r="A302" t="s">
        <v>206</v>
      </c>
      <c r="B302" t="s">
        <v>980</v>
      </c>
      <c r="C302" t="s">
        <v>1547</v>
      </c>
      <c r="D302" t="s">
        <v>1548</v>
      </c>
      <c r="E302">
        <v>3.7</v>
      </c>
      <c r="F302">
        <v>14</v>
      </c>
      <c r="G302">
        <v>56</v>
      </c>
      <c r="H302" s="13" t="s">
        <v>206</v>
      </c>
      <c r="I302" s="13" t="s">
        <v>1263</v>
      </c>
      <c r="J302" s="13"/>
      <c r="K302" s="13"/>
      <c r="L302" s="13" t="s">
        <v>1650</v>
      </c>
      <c r="M302" s="13" t="s">
        <v>1549</v>
      </c>
      <c r="N302" s="13" t="s">
        <v>1547</v>
      </c>
      <c r="O302" s="13">
        <v>1453704804</v>
      </c>
      <c r="P302" s="13" t="s">
        <v>726</v>
      </c>
      <c r="Q302" s="13">
        <v>128.33745500439699</v>
      </c>
      <c r="R302" s="13">
        <v>37.2317755015834</v>
      </c>
    </row>
    <row r="303" spans="1:18" x14ac:dyDescent="0.3">
      <c r="A303" t="s">
        <v>727</v>
      </c>
      <c r="B303" t="s">
        <v>822</v>
      </c>
      <c r="C303" t="s">
        <v>1550</v>
      </c>
      <c r="D303" t="s">
        <v>1551</v>
      </c>
      <c r="E303">
        <v>0</v>
      </c>
      <c r="F303">
        <v>0</v>
      </c>
      <c r="G303">
        <v>13</v>
      </c>
      <c r="H303" s="13" t="s">
        <v>727</v>
      </c>
      <c r="I303" s="13" t="s">
        <v>791</v>
      </c>
      <c r="J303" s="13" t="s">
        <v>792</v>
      </c>
      <c r="K303" s="13" t="s">
        <v>793</v>
      </c>
      <c r="L303" s="13" t="s">
        <v>1649</v>
      </c>
      <c r="M303" s="13" t="s">
        <v>1552</v>
      </c>
      <c r="N303" s="13" t="s">
        <v>1550</v>
      </c>
      <c r="O303" s="13">
        <v>12340047</v>
      </c>
      <c r="P303" s="13" t="s">
        <v>728</v>
      </c>
      <c r="Q303" s="13">
        <v>127.5987884045</v>
      </c>
      <c r="R303" s="13">
        <v>37.688764489365397</v>
      </c>
    </row>
    <row r="304" spans="1:18" x14ac:dyDescent="0.3">
      <c r="A304" t="s">
        <v>207</v>
      </c>
      <c r="B304" t="s">
        <v>1015</v>
      </c>
      <c r="C304" t="s">
        <v>1553</v>
      </c>
      <c r="D304" t="s">
        <v>1036</v>
      </c>
      <c r="E304">
        <v>4.7</v>
      </c>
      <c r="F304">
        <v>99</v>
      </c>
      <c r="G304">
        <v>9</v>
      </c>
      <c r="H304" s="13" t="s">
        <v>207</v>
      </c>
      <c r="I304" s="13" t="s">
        <v>854</v>
      </c>
      <c r="J304" s="13" t="s">
        <v>799</v>
      </c>
      <c r="K304" s="13" t="s">
        <v>800</v>
      </c>
      <c r="L304" s="13" t="s">
        <v>1648</v>
      </c>
      <c r="M304" s="13"/>
      <c r="N304" s="13" t="s">
        <v>1554</v>
      </c>
      <c r="O304" s="13">
        <v>8142162</v>
      </c>
      <c r="P304" s="13" t="s">
        <v>729</v>
      </c>
      <c r="Q304" s="13">
        <v>129.12194313700601</v>
      </c>
      <c r="R304" s="13">
        <v>37.520193835167703</v>
      </c>
    </row>
    <row r="305" spans="1:18" x14ac:dyDescent="0.3">
      <c r="A305" t="s">
        <v>208</v>
      </c>
      <c r="B305" t="s">
        <v>832</v>
      </c>
      <c r="C305" t="s">
        <v>1555</v>
      </c>
      <c r="D305" t="s">
        <v>1556</v>
      </c>
      <c r="E305">
        <v>4.2</v>
      </c>
      <c r="F305">
        <v>30</v>
      </c>
      <c r="G305">
        <v>284</v>
      </c>
      <c r="H305" s="13" t="s">
        <v>730</v>
      </c>
      <c r="I305" s="13" t="s">
        <v>798</v>
      </c>
      <c r="J305" s="13" t="s">
        <v>799</v>
      </c>
      <c r="K305" s="13" t="s">
        <v>800</v>
      </c>
      <c r="L305" s="13" t="s">
        <v>1647</v>
      </c>
      <c r="M305" s="13" t="s">
        <v>1557</v>
      </c>
      <c r="N305" s="13" t="s">
        <v>1558</v>
      </c>
      <c r="O305" s="13">
        <v>14918317</v>
      </c>
      <c r="P305" s="13" t="s">
        <v>731</v>
      </c>
      <c r="Q305" s="13">
        <v>127.935155361003</v>
      </c>
      <c r="R305" s="13">
        <v>37.335110750104697</v>
      </c>
    </row>
    <row r="306" spans="1:18" x14ac:dyDescent="0.3">
      <c r="A306" t="s">
        <v>732</v>
      </c>
      <c r="B306" t="s">
        <v>941</v>
      </c>
      <c r="C306" t="s">
        <v>1104</v>
      </c>
      <c r="D306" t="s">
        <v>1105</v>
      </c>
      <c r="E306">
        <v>4.5</v>
      </c>
      <c r="F306">
        <v>13</v>
      </c>
      <c r="G306">
        <v>21</v>
      </c>
      <c r="H306" s="13" t="s">
        <v>732</v>
      </c>
      <c r="I306" s="13" t="s">
        <v>928</v>
      </c>
      <c r="J306" s="13" t="s">
        <v>799</v>
      </c>
      <c r="K306" s="13" t="s">
        <v>800</v>
      </c>
      <c r="L306" s="13" t="s">
        <v>1646</v>
      </c>
      <c r="M306" s="13"/>
      <c r="N306" s="13"/>
      <c r="O306" s="13">
        <v>25618877</v>
      </c>
      <c r="P306" s="13" t="s">
        <v>733</v>
      </c>
      <c r="Q306" s="13">
        <v>128.66243613761301</v>
      </c>
      <c r="R306" s="13">
        <v>37.477071527465903</v>
      </c>
    </row>
    <row r="307" spans="1:18" x14ac:dyDescent="0.3">
      <c r="A307" t="s">
        <v>209</v>
      </c>
      <c r="B307" t="s">
        <v>885</v>
      </c>
      <c r="C307" t="s">
        <v>1002</v>
      </c>
      <c r="D307" t="s">
        <v>1003</v>
      </c>
      <c r="E307">
        <v>3.7</v>
      </c>
      <c r="F307">
        <v>25</v>
      </c>
      <c r="G307">
        <v>49</v>
      </c>
      <c r="H307" s="13" t="s">
        <v>209</v>
      </c>
      <c r="I307" s="13" t="s">
        <v>815</v>
      </c>
      <c r="J307" s="13"/>
      <c r="K307" s="13"/>
      <c r="L307" s="13" t="s">
        <v>1645</v>
      </c>
      <c r="M307" s="13" t="s">
        <v>1004</v>
      </c>
      <c r="N307" s="13" t="s">
        <v>1002</v>
      </c>
      <c r="O307" s="13">
        <v>8164763</v>
      </c>
      <c r="P307" s="13" t="s">
        <v>734</v>
      </c>
      <c r="Q307" s="13">
        <v>129.32687942600199</v>
      </c>
      <c r="R307" s="13">
        <v>37.268407041183004</v>
      </c>
    </row>
    <row r="308" spans="1:18" x14ac:dyDescent="0.3">
      <c r="A308" t="s">
        <v>735</v>
      </c>
      <c r="B308" t="s">
        <v>817</v>
      </c>
      <c r="C308" t="s">
        <v>1559</v>
      </c>
      <c r="D308" t="s">
        <v>1560</v>
      </c>
      <c r="E308">
        <v>0</v>
      </c>
      <c r="F308">
        <v>0</v>
      </c>
      <c r="G308">
        <v>3</v>
      </c>
      <c r="H308" s="13" t="s">
        <v>735</v>
      </c>
      <c r="I308" s="13" t="s">
        <v>798</v>
      </c>
      <c r="J308" s="13" t="s">
        <v>799</v>
      </c>
      <c r="K308" s="13" t="s">
        <v>800</v>
      </c>
      <c r="L308" s="13" t="s">
        <v>1644</v>
      </c>
      <c r="M308" s="13" t="s">
        <v>1561</v>
      </c>
      <c r="N308" s="13" t="s">
        <v>1562</v>
      </c>
      <c r="O308" s="13">
        <v>92514913</v>
      </c>
      <c r="P308" s="13" t="s">
        <v>736</v>
      </c>
      <c r="Q308" s="13">
        <v>128.12165285669099</v>
      </c>
      <c r="R308" s="13">
        <v>38.269930988284003</v>
      </c>
    </row>
    <row r="309" spans="1:18" x14ac:dyDescent="0.3">
      <c r="A309" t="s">
        <v>737</v>
      </c>
      <c r="B309" t="s">
        <v>955</v>
      </c>
      <c r="C309" t="s">
        <v>1563</v>
      </c>
      <c r="D309" t="s">
        <v>1564</v>
      </c>
      <c r="E309">
        <v>4.5999999999999996</v>
      </c>
      <c r="F309">
        <v>14</v>
      </c>
      <c r="G309">
        <v>17</v>
      </c>
      <c r="H309" s="13" t="s">
        <v>737</v>
      </c>
      <c r="I309" s="13" t="s">
        <v>989</v>
      </c>
      <c r="J309" s="13" t="s">
        <v>792</v>
      </c>
      <c r="K309" s="13" t="s">
        <v>793</v>
      </c>
      <c r="L309" s="13" t="s">
        <v>1643</v>
      </c>
      <c r="M309" s="13" t="s">
        <v>1565</v>
      </c>
      <c r="N309" s="13"/>
      <c r="O309" s="13">
        <v>1401522350</v>
      </c>
      <c r="P309" s="13" t="s">
        <v>738</v>
      </c>
      <c r="Q309" s="13">
        <v>128.52360118149701</v>
      </c>
      <c r="R309" s="13">
        <v>38.200396551436597</v>
      </c>
    </row>
    <row r="310" spans="1:18" x14ac:dyDescent="0.3">
      <c r="A310" t="s">
        <v>210</v>
      </c>
      <c r="B310" t="s">
        <v>832</v>
      </c>
      <c r="C310" t="s">
        <v>1116</v>
      </c>
      <c r="E310">
        <v>4.9000000000000004</v>
      </c>
      <c r="F310">
        <v>15</v>
      </c>
      <c r="G310">
        <v>57</v>
      </c>
      <c r="H310" s="13" t="s">
        <v>210</v>
      </c>
      <c r="I310" s="13" t="s">
        <v>815</v>
      </c>
      <c r="J310" s="13"/>
      <c r="K310" s="13"/>
      <c r="L310" s="13" t="s">
        <v>1642</v>
      </c>
      <c r="M310" s="13"/>
      <c r="N310" s="13"/>
      <c r="O310" s="13">
        <v>25626005</v>
      </c>
      <c r="P310" s="13" t="s">
        <v>739</v>
      </c>
      <c r="Q310" s="13">
        <v>127.99570449097099</v>
      </c>
      <c r="R310" s="13">
        <v>37.3430066940277</v>
      </c>
    </row>
    <row r="311" spans="1:18" x14ac:dyDescent="0.3">
      <c r="A311" t="s">
        <v>740</v>
      </c>
      <c r="B311" t="s">
        <v>832</v>
      </c>
      <c r="C311" t="s">
        <v>1116</v>
      </c>
      <c r="E311">
        <v>0</v>
      </c>
      <c r="F311">
        <v>0</v>
      </c>
      <c r="G311">
        <v>15</v>
      </c>
      <c r="H311" s="13" t="s">
        <v>740</v>
      </c>
      <c r="I311" s="13" t="s">
        <v>1155</v>
      </c>
      <c r="J311" s="13"/>
      <c r="K311" s="13"/>
      <c r="L311" s="13" t="s">
        <v>1641</v>
      </c>
      <c r="M311" s="13"/>
      <c r="N311" s="13"/>
      <c r="O311" s="13">
        <v>27428556</v>
      </c>
      <c r="P311" s="13" t="s">
        <v>741</v>
      </c>
      <c r="Q311" s="13">
        <v>127.996308342964</v>
      </c>
      <c r="R311" s="13">
        <v>37.341221245783601</v>
      </c>
    </row>
    <row r="312" spans="1:18" x14ac:dyDescent="0.3">
      <c r="A312" t="s">
        <v>742</v>
      </c>
      <c r="B312" t="s">
        <v>832</v>
      </c>
      <c r="C312" t="s">
        <v>1116</v>
      </c>
      <c r="E312">
        <v>0</v>
      </c>
      <c r="F312">
        <v>0</v>
      </c>
      <c r="G312">
        <v>6</v>
      </c>
      <c r="H312" s="13" t="s">
        <v>742</v>
      </c>
      <c r="I312" s="13" t="s">
        <v>1566</v>
      </c>
      <c r="J312" s="13"/>
      <c r="K312" s="13"/>
      <c r="L312" s="13" t="s">
        <v>1641</v>
      </c>
      <c r="M312" s="13"/>
      <c r="N312" s="13"/>
      <c r="O312" s="13">
        <v>853600656</v>
      </c>
      <c r="P312" s="13" t="s">
        <v>743</v>
      </c>
      <c r="Q312" s="13">
        <v>127.99617935826799</v>
      </c>
      <c r="R312" s="13">
        <v>37.342220633359602</v>
      </c>
    </row>
    <row r="313" spans="1:18" x14ac:dyDescent="0.3">
      <c r="A313" t="s">
        <v>211</v>
      </c>
      <c r="B313" t="s">
        <v>803</v>
      </c>
      <c r="C313" t="s">
        <v>1567</v>
      </c>
      <c r="D313" t="s">
        <v>1568</v>
      </c>
      <c r="E313">
        <v>4.7</v>
      </c>
      <c r="F313">
        <v>78</v>
      </c>
      <c r="G313">
        <v>196</v>
      </c>
      <c r="H313" s="13" t="s">
        <v>211</v>
      </c>
      <c r="I313" s="13" t="s">
        <v>815</v>
      </c>
      <c r="J313" s="13"/>
      <c r="K313" s="13"/>
      <c r="L313" s="13" t="s">
        <v>1640</v>
      </c>
      <c r="M313" s="13" t="s">
        <v>1569</v>
      </c>
      <c r="N313" s="13" t="s">
        <v>1567</v>
      </c>
      <c r="O313" s="13">
        <v>17344148</v>
      </c>
      <c r="P313" s="13" t="s">
        <v>744</v>
      </c>
      <c r="Q313" s="13">
        <v>128.909497730319</v>
      </c>
      <c r="R313" s="13">
        <v>37.791432355843902</v>
      </c>
    </row>
    <row r="314" spans="1:18" x14ac:dyDescent="0.3">
      <c r="A314" t="s">
        <v>745</v>
      </c>
      <c r="B314" t="s">
        <v>803</v>
      </c>
      <c r="C314" t="s">
        <v>1567</v>
      </c>
      <c r="D314" t="s">
        <v>1568</v>
      </c>
      <c r="E314">
        <v>4.4000000000000004</v>
      </c>
      <c r="F314">
        <v>9</v>
      </c>
      <c r="G314">
        <v>12</v>
      </c>
      <c r="H314" s="13" t="s">
        <v>745</v>
      </c>
      <c r="I314" s="13" t="s">
        <v>829</v>
      </c>
      <c r="J314" s="13"/>
      <c r="K314" s="13"/>
      <c r="L314" s="13" t="s">
        <v>1639</v>
      </c>
      <c r="M314" s="13" t="s">
        <v>1570</v>
      </c>
      <c r="N314" s="13" t="s">
        <v>1571</v>
      </c>
      <c r="O314" s="13">
        <v>1661715932</v>
      </c>
      <c r="P314" s="13" t="s">
        <v>746</v>
      </c>
      <c r="Q314" s="13">
        <v>128.91018445883199</v>
      </c>
      <c r="R314" s="13">
        <v>37.791033860753103</v>
      </c>
    </row>
    <row r="315" spans="1:18" x14ac:dyDescent="0.3">
      <c r="A315" t="s">
        <v>747</v>
      </c>
      <c r="B315" t="s">
        <v>1015</v>
      </c>
      <c r="C315" t="s">
        <v>1572</v>
      </c>
      <c r="D315" t="s">
        <v>1017</v>
      </c>
      <c r="E315">
        <v>0</v>
      </c>
      <c r="F315">
        <v>0</v>
      </c>
      <c r="G315">
        <v>2</v>
      </c>
      <c r="H315" s="13" t="s">
        <v>747</v>
      </c>
      <c r="I315" s="13" t="s">
        <v>896</v>
      </c>
      <c r="J315" s="13"/>
      <c r="K315" s="13"/>
      <c r="L315" s="13" t="s">
        <v>1638</v>
      </c>
      <c r="M315" s="13"/>
      <c r="N315" s="13"/>
      <c r="O315" s="13">
        <v>13096082</v>
      </c>
      <c r="P315" s="13" t="s">
        <v>748</v>
      </c>
      <c r="Q315" s="13">
        <v>129.01054561427699</v>
      </c>
      <c r="R315" s="13">
        <v>37.460578572401701</v>
      </c>
    </row>
    <row r="316" spans="1:18" x14ac:dyDescent="0.3">
      <c r="A316" t="s">
        <v>212</v>
      </c>
      <c r="B316" t="s">
        <v>822</v>
      </c>
      <c r="C316" t="s">
        <v>1573</v>
      </c>
      <c r="D316" t="s">
        <v>1574</v>
      </c>
      <c r="E316">
        <v>3.7</v>
      </c>
      <c r="F316">
        <v>13</v>
      </c>
      <c r="G316">
        <v>15</v>
      </c>
      <c r="H316" s="13" t="s">
        <v>212</v>
      </c>
      <c r="I316" s="13" t="s">
        <v>907</v>
      </c>
      <c r="J316" s="13" t="s">
        <v>908</v>
      </c>
      <c r="K316" s="13" t="s">
        <v>909</v>
      </c>
      <c r="L316" s="13" t="s">
        <v>1637</v>
      </c>
      <c r="M316" s="13" t="s">
        <v>1575</v>
      </c>
      <c r="N316" s="13" t="s">
        <v>1573</v>
      </c>
      <c r="O316" s="13">
        <v>24372688</v>
      </c>
      <c r="P316" s="13" t="s">
        <v>749</v>
      </c>
      <c r="Q316" s="13">
        <v>127.78723121172099</v>
      </c>
      <c r="R316" s="13">
        <v>37.690280644063002</v>
      </c>
    </row>
    <row r="317" spans="1:18" x14ac:dyDescent="0.3">
      <c r="A317" t="s">
        <v>213</v>
      </c>
      <c r="B317" t="s">
        <v>822</v>
      </c>
      <c r="C317" t="s">
        <v>1576</v>
      </c>
      <c r="D317" t="s">
        <v>1577</v>
      </c>
      <c r="E317">
        <v>4.8</v>
      </c>
      <c r="F317">
        <v>33</v>
      </c>
      <c r="G317">
        <v>165</v>
      </c>
      <c r="H317" s="13" t="s">
        <v>213</v>
      </c>
      <c r="I317" s="13" t="s">
        <v>850</v>
      </c>
      <c r="J317" s="13" t="s">
        <v>799</v>
      </c>
      <c r="K317" s="13" t="s">
        <v>800</v>
      </c>
      <c r="L317" s="13" t="s">
        <v>1636</v>
      </c>
      <c r="M317" s="13"/>
      <c r="N317" s="13" t="s">
        <v>1578</v>
      </c>
      <c r="O317" s="13">
        <v>1770086335</v>
      </c>
      <c r="P317" s="13" t="s">
        <v>750</v>
      </c>
      <c r="Q317" s="13">
        <v>127.833964580814</v>
      </c>
      <c r="R317" s="13">
        <v>37.7224764908879</v>
      </c>
    </row>
    <row r="318" spans="1:18" x14ac:dyDescent="0.3">
      <c r="A318" t="s">
        <v>214</v>
      </c>
      <c r="B318" t="s">
        <v>822</v>
      </c>
      <c r="C318" t="s">
        <v>1579</v>
      </c>
      <c r="D318" t="s">
        <v>824</v>
      </c>
      <c r="E318">
        <v>5</v>
      </c>
      <c r="F318">
        <v>3</v>
      </c>
      <c r="G318">
        <v>176</v>
      </c>
      <c r="H318" s="13" t="s">
        <v>214</v>
      </c>
      <c r="I318" s="13" t="s">
        <v>1111</v>
      </c>
      <c r="J318" s="13" t="s">
        <v>792</v>
      </c>
      <c r="K318" s="13" t="s">
        <v>793</v>
      </c>
      <c r="L318" s="13" t="s">
        <v>1635</v>
      </c>
      <c r="M318" s="13" t="s">
        <v>1580</v>
      </c>
      <c r="N318" s="13" t="s">
        <v>1579</v>
      </c>
      <c r="O318" s="13">
        <v>26163339</v>
      </c>
      <c r="P318" s="13" t="s">
        <v>751</v>
      </c>
      <c r="Q318" s="13">
        <v>127.888894410887</v>
      </c>
      <c r="R318" s="13">
        <v>37.694646679178</v>
      </c>
    </row>
    <row r="319" spans="1:18" x14ac:dyDescent="0.3">
      <c r="A319" t="s">
        <v>215</v>
      </c>
      <c r="B319" t="s">
        <v>822</v>
      </c>
      <c r="C319" t="s">
        <v>1581</v>
      </c>
      <c r="D319" t="s">
        <v>1582</v>
      </c>
      <c r="E319">
        <v>5</v>
      </c>
      <c r="F319">
        <v>2</v>
      </c>
      <c r="G319">
        <v>73</v>
      </c>
      <c r="H319" s="13" t="s">
        <v>215</v>
      </c>
      <c r="I319" s="13" t="s">
        <v>810</v>
      </c>
      <c r="J319" s="13" t="s">
        <v>792</v>
      </c>
      <c r="K319" s="13" t="s">
        <v>793</v>
      </c>
      <c r="L319" s="13" t="s">
        <v>1634</v>
      </c>
      <c r="M319" s="13" t="s">
        <v>1583</v>
      </c>
      <c r="N319" s="13" t="s">
        <v>1581</v>
      </c>
      <c r="O319" s="13">
        <v>80140621</v>
      </c>
      <c r="P319" s="13" t="s">
        <v>752</v>
      </c>
      <c r="Q319" s="13">
        <v>127.871399425782</v>
      </c>
      <c r="R319" s="13">
        <v>37.681253095122699</v>
      </c>
    </row>
    <row r="320" spans="1:18" x14ac:dyDescent="0.3">
      <c r="A320" t="s">
        <v>216</v>
      </c>
      <c r="B320" t="s">
        <v>822</v>
      </c>
      <c r="C320" t="s">
        <v>1584</v>
      </c>
      <c r="D320" t="s">
        <v>1585</v>
      </c>
      <c r="E320">
        <v>4.3</v>
      </c>
      <c r="F320">
        <v>7</v>
      </c>
      <c r="G320">
        <v>146</v>
      </c>
      <c r="H320" s="13" t="s">
        <v>216</v>
      </c>
      <c r="I320" s="13" t="s">
        <v>948</v>
      </c>
      <c r="J320" s="13" t="s">
        <v>792</v>
      </c>
      <c r="K320" s="13" t="s">
        <v>793</v>
      </c>
      <c r="L320" s="13" t="s">
        <v>1633</v>
      </c>
      <c r="M320" s="13" t="s">
        <v>1586</v>
      </c>
      <c r="N320" s="13" t="s">
        <v>1584</v>
      </c>
      <c r="O320" s="13">
        <v>11205448</v>
      </c>
      <c r="P320" s="13" t="s">
        <v>753</v>
      </c>
      <c r="Q320" s="13">
        <v>127.880606343553</v>
      </c>
      <c r="R320" s="13">
        <v>37.679122426032698</v>
      </c>
    </row>
    <row r="321" spans="1:18" x14ac:dyDescent="0.3">
      <c r="A321" t="s">
        <v>217</v>
      </c>
      <c r="B321" t="s">
        <v>822</v>
      </c>
      <c r="C321" t="s">
        <v>1359</v>
      </c>
      <c r="D321" t="s">
        <v>824</v>
      </c>
      <c r="E321">
        <v>3.1</v>
      </c>
      <c r="F321">
        <v>48</v>
      </c>
      <c r="G321">
        <v>135</v>
      </c>
      <c r="H321" s="13" t="s">
        <v>217</v>
      </c>
      <c r="I321" s="13" t="s">
        <v>934</v>
      </c>
      <c r="J321" s="13" t="s">
        <v>799</v>
      </c>
      <c r="K321" s="13" t="s">
        <v>800</v>
      </c>
      <c r="L321" s="13" t="s">
        <v>1632</v>
      </c>
      <c r="M321" s="13"/>
      <c r="N321" s="13"/>
      <c r="O321" s="13">
        <v>18323826</v>
      </c>
      <c r="P321" s="13" t="s">
        <v>754</v>
      </c>
      <c r="Q321" s="13">
        <v>128.47065480753</v>
      </c>
      <c r="R321" s="13">
        <v>37.832290819146301</v>
      </c>
    </row>
    <row r="322" spans="1:18" x14ac:dyDescent="0.3">
      <c r="A322" t="s">
        <v>218</v>
      </c>
      <c r="B322" t="s">
        <v>941</v>
      </c>
      <c r="C322" t="s">
        <v>1587</v>
      </c>
      <c r="D322" t="s">
        <v>1105</v>
      </c>
      <c r="E322">
        <v>4.4000000000000004</v>
      </c>
      <c r="F322">
        <v>97</v>
      </c>
      <c r="G322">
        <v>12</v>
      </c>
      <c r="H322" s="13" t="s">
        <v>218</v>
      </c>
      <c r="I322" s="13" t="s">
        <v>940</v>
      </c>
      <c r="J322" s="13"/>
      <c r="K322" s="13"/>
      <c r="L322" s="13" t="s">
        <v>1631</v>
      </c>
      <c r="M322" s="13"/>
      <c r="N322" s="13" t="s">
        <v>1588</v>
      </c>
      <c r="O322" s="13">
        <v>15171645</v>
      </c>
      <c r="P322" s="13" t="s">
        <v>755</v>
      </c>
      <c r="Q322" s="13">
        <v>128.79418793090099</v>
      </c>
      <c r="R322" s="13">
        <v>37.349006596204099</v>
      </c>
    </row>
    <row r="323" spans="1:18" x14ac:dyDescent="0.3">
      <c r="A323" t="s">
        <v>756</v>
      </c>
      <c r="B323" t="s">
        <v>941</v>
      </c>
      <c r="C323" t="s">
        <v>1587</v>
      </c>
      <c r="D323" t="s">
        <v>1589</v>
      </c>
      <c r="E323">
        <v>4.5999999999999996</v>
      </c>
      <c r="F323">
        <v>7</v>
      </c>
      <c r="G323">
        <v>5</v>
      </c>
      <c r="H323" s="13" t="s">
        <v>756</v>
      </c>
      <c r="I323" s="13" t="s">
        <v>1171</v>
      </c>
      <c r="J323" s="13"/>
      <c r="K323" s="13"/>
      <c r="L323" s="13" t="s">
        <v>1630</v>
      </c>
      <c r="M323" s="13" t="s">
        <v>1590</v>
      </c>
      <c r="N323" s="13"/>
      <c r="O323" s="13">
        <v>25632153</v>
      </c>
      <c r="P323" s="13" t="s">
        <v>757</v>
      </c>
      <c r="Q323" s="13">
        <v>128.78836350630201</v>
      </c>
      <c r="R323" s="13">
        <v>37.348611928911403</v>
      </c>
    </row>
    <row r="324" spans="1:18" x14ac:dyDescent="0.3">
      <c r="A324" t="s">
        <v>219</v>
      </c>
      <c r="B324" t="s">
        <v>1591</v>
      </c>
      <c r="E324">
        <v>4.5</v>
      </c>
      <c r="F324">
        <v>4</v>
      </c>
      <c r="G324">
        <v>32</v>
      </c>
      <c r="H324" s="13" t="s">
        <v>219</v>
      </c>
      <c r="I324" s="13" t="s">
        <v>1012</v>
      </c>
      <c r="J324" s="13" t="s">
        <v>799</v>
      </c>
      <c r="K324" s="13" t="s">
        <v>800</v>
      </c>
      <c r="L324" s="13" t="s">
        <v>1629</v>
      </c>
      <c r="M324" s="13"/>
      <c r="N324" s="13"/>
      <c r="O324" s="13">
        <v>25022695</v>
      </c>
      <c r="P324" s="13" t="s">
        <v>758</v>
      </c>
      <c r="Q324" s="13">
        <v>127.762197729126</v>
      </c>
      <c r="R324" s="13">
        <v>38.124322883570997</v>
      </c>
    </row>
    <row r="325" spans="1:18" x14ac:dyDescent="0.3">
      <c r="A325" t="s">
        <v>220</v>
      </c>
      <c r="B325" t="s">
        <v>795</v>
      </c>
      <c r="C325" t="s">
        <v>1592</v>
      </c>
      <c r="D325" t="s">
        <v>1080</v>
      </c>
      <c r="E325">
        <v>4.2</v>
      </c>
      <c r="F325">
        <v>85</v>
      </c>
      <c r="G325">
        <v>133</v>
      </c>
      <c r="H325" s="13" t="s">
        <v>220</v>
      </c>
      <c r="I325" s="13" t="s">
        <v>1321</v>
      </c>
      <c r="J325" s="13"/>
      <c r="K325" s="13"/>
      <c r="L325" s="13" t="s">
        <v>1628</v>
      </c>
      <c r="M325" s="13" t="s">
        <v>1593</v>
      </c>
      <c r="N325" s="13"/>
      <c r="O325" s="13">
        <v>10963875</v>
      </c>
      <c r="P325" s="13" t="s">
        <v>759</v>
      </c>
      <c r="Q325" s="13">
        <v>128.99105877437199</v>
      </c>
      <c r="R325" s="13">
        <v>37.172844097682201</v>
      </c>
    </row>
    <row r="326" spans="1:18" x14ac:dyDescent="0.3">
      <c r="A326" t="s">
        <v>760</v>
      </c>
      <c r="B326" t="s">
        <v>941</v>
      </c>
      <c r="C326" t="s">
        <v>1594</v>
      </c>
      <c r="D326" t="s">
        <v>1595</v>
      </c>
      <c r="E326">
        <v>3.6</v>
      </c>
      <c r="F326">
        <v>8</v>
      </c>
      <c r="G326">
        <v>4</v>
      </c>
      <c r="H326" s="13" t="s">
        <v>761</v>
      </c>
      <c r="I326" s="13" t="s">
        <v>1044</v>
      </c>
      <c r="J326" s="13" t="s">
        <v>908</v>
      </c>
      <c r="K326" s="13" t="s">
        <v>909</v>
      </c>
      <c r="L326" s="13" t="s">
        <v>1627</v>
      </c>
      <c r="M326" s="13" t="s">
        <v>1596</v>
      </c>
      <c r="N326" s="13" t="s">
        <v>1594</v>
      </c>
      <c r="O326" s="13">
        <v>21054964</v>
      </c>
      <c r="P326" s="13" t="s">
        <v>762</v>
      </c>
      <c r="Q326" s="13">
        <v>128.585471802071</v>
      </c>
      <c r="R326" s="13">
        <v>37.411327914664902</v>
      </c>
    </row>
    <row r="327" spans="1:18" x14ac:dyDescent="0.3">
      <c r="A327" t="s">
        <v>221</v>
      </c>
      <c r="B327" t="s">
        <v>967</v>
      </c>
      <c r="C327" t="s">
        <v>1597</v>
      </c>
      <c r="D327" t="s">
        <v>1598</v>
      </c>
      <c r="E327">
        <v>4.5</v>
      </c>
      <c r="F327">
        <v>73</v>
      </c>
      <c r="G327">
        <v>304</v>
      </c>
      <c r="H327" s="13" t="s">
        <v>221</v>
      </c>
      <c r="I327" s="13" t="s">
        <v>798</v>
      </c>
      <c r="J327" s="13" t="s">
        <v>799</v>
      </c>
      <c r="K327" s="13" t="s">
        <v>800</v>
      </c>
      <c r="L327" s="13" t="s">
        <v>1626</v>
      </c>
      <c r="M327" s="13" t="s">
        <v>1599</v>
      </c>
      <c r="N327" s="13" t="s">
        <v>1597</v>
      </c>
      <c r="O327" s="13">
        <v>367665442</v>
      </c>
      <c r="P327" s="13" t="s">
        <v>763</v>
      </c>
      <c r="Q327" s="13">
        <v>128.108700260543</v>
      </c>
      <c r="R327" s="13">
        <v>37.428371253725103</v>
      </c>
    </row>
    <row r="328" spans="1:18" x14ac:dyDescent="0.3">
      <c r="A328" t="s">
        <v>222</v>
      </c>
      <c r="B328" t="s">
        <v>967</v>
      </c>
      <c r="C328" t="s">
        <v>1600</v>
      </c>
      <c r="D328" t="s">
        <v>1601</v>
      </c>
      <c r="E328">
        <v>4.5</v>
      </c>
      <c r="F328">
        <v>4</v>
      </c>
      <c r="G328">
        <v>117</v>
      </c>
      <c r="H328" s="13" t="s">
        <v>222</v>
      </c>
      <c r="I328" s="13" t="s">
        <v>1171</v>
      </c>
      <c r="J328" s="13"/>
      <c r="K328" s="13"/>
      <c r="L328" s="13" t="s">
        <v>1625</v>
      </c>
      <c r="M328" s="13" t="s">
        <v>1602</v>
      </c>
      <c r="N328" s="13" t="s">
        <v>1600</v>
      </c>
      <c r="O328" s="13">
        <v>1376671961</v>
      </c>
      <c r="P328" s="13" t="s">
        <v>764</v>
      </c>
      <c r="Q328" s="13">
        <v>127.978000310303</v>
      </c>
      <c r="R328" s="13">
        <v>37.491858202264098</v>
      </c>
    </row>
    <row r="329" spans="1:18" x14ac:dyDescent="0.3">
      <c r="A329" t="s">
        <v>765</v>
      </c>
      <c r="B329" t="s">
        <v>967</v>
      </c>
      <c r="C329" t="s">
        <v>1603</v>
      </c>
      <c r="D329" t="s">
        <v>1604</v>
      </c>
      <c r="E329">
        <v>4.3</v>
      </c>
      <c r="F329">
        <v>3</v>
      </c>
      <c r="G329">
        <v>4</v>
      </c>
      <c r="H329" s="13" t="s">
        <v>765</v>
      </c>
      <c r="I329" s="13" t="s">
        <v>1605</v>
      </c>
      <c r="J329" s="13"/>
      <c r="K329" s="13"/>
      <c r="L329" s="13" t="s">
        <v>1624</v>
      </c>
      <c r="M329" s="13"/>
      <c r="N329" s="13" t="s">
        <v>1606</v>
      </c>
      <c r="O329" s="13">
        <v>156531879</v>
      </c>
      <c r="P329" s="13" t="s">
        <v>766</v>
      </c>
      <c r="Q329" s="13">
        <v>128.06260723461901</v>
      </c>
      <c r="R329" s="13">
        <v>37.549781905409702</v>
      </c>
    </row>
    <row r="330" spans="1:18" x14ac:dyDescent="0.3">
      <c r="A330" t="s">
        <v>767</v>
      </c>
      <c r="B330" t="s">
        <v>967</v>
      </c>
      <c r="C330" t="s">
        <v>1607</v>
      </c>
      <c r="D330" t="s">
        <v>1608</v>
      </c>
      <c r="E330">
        <v>0</v>
      </c>
      <c r="F330">
        <v>0</v>
      </c>
      <c r="G330">
        <v>15</v>
      </c>
      <c r="H330" s="13" t="s">
        <v>767</v>
      </c>
      <c r="I330" s="13" t="s">
        <v>1171</v>
      </c>
      <c r="J330" s="13"/>
      <c r="K330" s="13"/>
      <c r="L330" s="13" t="s">
        <v>1623</v>
      </c>
      <c r="M330" s="13" t="s">
        <v>1609</v>
      </c>
      <c r="N330" s="13"/>
      <c r="O330" s="13">
        <v>1418934247</v>
      </c>
      <c r="P330" s="13" t="s">
        <v>768</v>
      </c>
      <c r="Q330" s="13">
        <v>128.100524650929</v>
      </c>
      <c r="R330" s="13">
        <v>37.504580323118198</v>
      </c>
    </row>
    <row r="331" spans="1:18" x14ac:dyDescent="0.3">
      <c r="A331" t="s">
        <v>769</v>
      </c>
      <c r="B331" t="s">
        <v>1020</v>
      </c>
      <c r="C331" t="s">
        <v>1610</v>
      </c>
      <c r="E331">
        <v>3.4</v>
      </c>
      <c r="F331">
        <v>13</v>
      </c>
      <c r="G331">
        <v>53</v>
      </c>
      <c r="H331" s="13" t="s">
        <v>769</v>
      </c>
      <c r="I331" s="13" t="s">
        <v>989</v>
      </c>
      <c r="J331" s="13" t="s">
        <v>792</v>
      </c>
      <c r="K331" s="13" t="s">
        <v>793</v>
      </c>
      <c r="L331" s="13" t="s">
        <v>1622</v>
      </c>
      <c r="M331" s="13" t="s">
        <v>1611</v>
      </c>
      <c r="N331" s="13" t="s">
        <v>1610</v>
      </c>
      <c r="O331" s="13">
        <v>1192304085</v>
      </c>
      <c r="P331" s="13" t="s">
        <v>770</v>
      </c>
      <c r="Q331" s="13">
        <v>128.366880121853</v>
      </c>
      <c r="R331" s="13">
        <v>37.612229762288301</v>
      </c>
    </row>
    <row r="332" spans="1:18" x14ac:dyDescent="0.3">
      <c r="A332" t="s">
        <v>223</v>
      </c>
      <c r="B332" t="s">
        <v>788</v>
      </c>
      <c r="C332" t="s">
        <v>1612</v>
      </c>
      <c r="D332" t="s">
        <v>1087</v>
      </c>
      <c r="E332">
        <v>4.2</v>
      </c>
      <c r="F332">
        <v>14</v>
      </c>
      <c r="G332">
        <v>71</v>
      </c>
      <c r="H332" s="13" t="s">
        <v>223</v>
      </c>
      <c r="I332" s="13" t="s">
        <v>986</v>
      </c>
      <c r="J332" s="13"/>
      <c r="K332" s="13"/>
      <c r="L332" s="13" t="s">
        <v>1621</v>
      </c>
      <c r="M332" s="13"/>
      <c r="N332" s="13"/>
      <c r="O332" s="13">
        <v>10957333</v>
      </c>
      <c r="P332" s="13" t="s">
        <v>771</v>
      </c>
      <c r="Q332" s="13">
        <v>128.37214015677401</v>
      </c>
      <c r="R332" s="13">
        <v>37.6144840785771</v>
      </c>
    </row>
    <row r="333" spans="1:18" x14ac:dyDescent="0.3">
      <c r="A333" t="s">
        <v>224</v>
      </c>
      <c r="B333" t="s">
        <v>838</v>
      </c>
      <c r="C333" t="s">
        <v>1613</v>
      </c>
      <c r="D333" t="s">
        <v>1614</v>
      </c>
      <c r="E333">
        <v>4.2</v>
      </c>
      <c r="F333">
        <v>174</v>
      </c>
      <c r="G333">
        <v>684</v>
      </c>
      <c r="H333" s="13" t="s">
        <v>224</v>
      </c>
      <c r="I333" s="13" t="s">
        <v>899</v>
      </c>
      <c r="J333" s="13"/>
      <c r="K333" s="13"/>
      <c r="L333" s="13" t="s">
        <v>1620</v>
      </c>
      <c r="M333" s="13" t="s">
        <v>1615</v>
      </c>
      <c r="N333" s="13" t="s">
        <v>1613</v>
      </c>
      <c r="O333" s="13">
        <v>8180160</v>
      </c>
      <c r="P333" s="13" t="s">
        <v>772</v>
      </c>
      <c r="Q333" s="13">
        <v>128.76764971202201</v>
      </c>
      <c r="R333" s="13">
        <v>37.961221229606601</v>
      </c>
    </row>
    <row r="334" spans="1:18" x14ac:dyDescent="0.3">
      <c r="A334" t="s">
        <v>773</v>
      </c>
      <c r="B334" t="s">
        <v>832</v>
      </c>
      <c r="C334" t="s">
        <v>1116</v>
      </c>
      <c r="D334" t="s">
        <v>1117</v>
      </c>
      <c r="E334">
        <v>0</v>
      </c>
      <c r="F334">
        <v>30</v>
      </c>
      <c r="G334">
        <v>4</v>
      </c>
      <c r="H334" s="13" t="s">
        <v>773</v>
      </c>
      <c r="I334" s="13" t="s">
        <v>1046</v>
      </c>
      <c r="J334" s="13"/>
      <c r="K334" s="13"/>
      <c r="L334" s="13" t="s">
        <v>1619</v>
      </c>
      <c r="M334" s="13"/>
      <c r="N334" s="13"/>
      <c r="O334" s="13">
        <v>11295210</v>
      </c>
      <c r="P334" s="13" t="s">
        <v>774</v>
      </c>
      <c r="Q334" s="13">
        <v>127.750936633647</v>
      </c>
      <c r="R334" s="13">
        <v>37.227241657927202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merge</vt:lpstr>
      <vt:lpstr>budget</vt:lpstr>
      <vt:lpstr>api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Dell 3571</cp:lastModifiedBy>
  <dcterms:created xsi:type="dcterms:W3CDTF">2026-10-27T01:10:21Z</dcterms:created>
  <dcterms:modified xsi:type="dcterms:W3CDTF">2026-10-27T05:24:29Z</dcterms:modified>
</cp:coreProperties>
</file>